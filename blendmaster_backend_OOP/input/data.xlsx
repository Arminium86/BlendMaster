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BlendMaster\blendmaster_backend_OOP\input\"/>
    </mc:Choice>
  </mc:AlternateContent>
  <xr:revisionPtr revIDLastSave="0" documentId="13_ncr:1_{71A09C48-FD11-401F-84B6-AC3119269F6D}" xr6:coauthVersionLast="47" xr6:coauthVersionMax="47" xr10:uidLastSave="{00000000-0000-0000-0000-000000000000}"/>
  <bookViews>
    <workbookView xWindow="-28920" yWindow="-30" windowWidth="29040" windowHeight="15840" tabRatio="685" firstSheet="1" activeTab="1" xr2:uid="{00000000-000D-0000-FFFF-FFFF00000000}"/>
  </bookViews>
  <sheets>
    <sheet name="final_input_equipment_data" sheetId="6" r:id="rId1"/>
    <sheet name="final_input_crusher_data" sheetId="8" r:id="rId2"/>
    <sheet name="final_input_stockpile_data" sheetId="10" r:id="rId3"/>
    <sheet name="final_input_grade_block_data" sheetId="9" r:id="rId4"/>
    <sheet name="snowflake_opening_inventories" sheetId="12" r:id="rId5"/>
  </sheets>
  <definedNames>
    <definedName name="ExternalData_1" localSheetId="4" hidden="1">snowflake_opening_inventories!$A$1:$N$23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0" i="10" l="1"/>
  <c r="S100" i="10"/>
  <c r="R100" i="10"/>
  <c r="Q100" i="10"/>
  <c r="P100" i="10"/>
  <c r="T99" i="10"/>
  <c r="S99" i="10"/>
  <c r="R99" i="10"/>
  <c r="Q99" i="10"/>
  <c r="P99" i="10"/>
  <c r="T98" i="10"/>
  <c r="S98" i="10"/>
  <c r="R98" i="10"/>
  <c r="Q98" i="10"/>
  <c r="P98" i="10"/>
  <c r="T97" i="10"/>
  <c r="S97" i="10"/>
  <c r="R97" i="10"/>
  <c r="Q97" i="10"/>
  <c r="P97" i="10"/>
  <c r="T96" i="10"/>
  <c r="S96" i="10"/>
  <c r="R96" i="10"/>
  <c r="Q96" i="10"/>
  <c r="P96" i="10"/>
  <c r="T95" i="10"/>
  <c r="S95" i="10"/>
  <c r="R95" i="10"/>
  <c r="Q95" i="10"/>
  <c r="P95" i="10"/>
  <c r="T94" i="10"/>
  <c r="S94" i="10"/>
  <c r="R94" i="10"/>
  <c r="Q94" i="10"/>
  <c r="P94" i="10"/>
  <c r="T93" i="10"/>
  <c r="S93" i="10"/>
  <c r="R93" i="10"/>
  <c r="Q93" i="10"/>
  <c r="P93" i="10"/>
  <c r="T92" i="10"/>
  <c r="S92" i="10"/>
  <c r="R92" i="10"/>
  <c r="Q92" i="10"/>
  <c r="P92" i="10"/>
  <c r="T91" i="10"/>
  <c r="S91" i="10"/>
  <c r="R91" i="10"/>
  <c r="Q91" i="10"/>
  <c r="P91" i="10"/>
  <c r="T90" i="10"/>
  <c r="S90" i="10"/>
  <c r="R90" i="10"/>
  <c r="Q90" i="10"/>
  <c r="P90" i="10"/>
  <c r="T89" i="10"/>
  <c r="S89" i="10"/>
  <c r="R89" i="10"/>
  <c r="Q89" i="10"/>
  <c r="P89" i="10"/>
  <c r="T88" i="10"/>
  <c r="S88" i="10"/>
  <c r="R88" i="10"/>
  <c r="Q88" i="10"/>
  <c r="P88" i="10"/>
  <c r="T87" i="10"/>
  <c r="S87" i="10"/>
  <c r="R87" i="10"/>
  <c r="Q87" i="10"/>
  <c r="P87" i="10"/>
  <c r="T86" i="10"/>
  <c r="S86" i="10"/>
  <c r="R86" i="10"/>
  <c r="Q86" i="10"/>
  <c r="P86" i="10"/>
  <c r="T85" i="10"/>
  <c r="S85" i="10"/>
  <c r="R85" i="10"/>
  <c r="Q85" i="10"/>
  <c r="P85" i="10"/>
  <c r="T84" i="10"/>
  <c r="S84" i="10"/>
  <c r="R84" i="10"/>
  <c r="Q84" i="10"/>
  <c r="P84" i="10"/>
  <c r="T83" i="10"/>
  <c r="S83" i="10"/>
  <c r="R83" i="10"/>
  <c r="Q83" i="10"/>
  <c r="P83" i="10"/>
  <c r="T82" i="10"/>
  <c r="S82" i="10"/>
  <c r="R82" i="10"/>
  <c r="Q82" i="10"/>
  <c r="P82" i="10"/>
  <c r="T81" i="10"/>
  <c r="S81" i="10"/>
  <c r="R81" i="10"/>
  <c r="Q81" i="10"/>
  <c r="P81" i="10"/>
  <c r="T80" i="10"/>
  <c r="S80" i="10"/>
  <c r="R80" i="10"/>
  <c r="Q80" i="10"/>
  <c r="P80" i="10"/>
  <c r="T79" i="10"/>
  <c r="S79" i="10"/>
  <c r="R79" i="10"/>
  <c r="Q79" i="10"/>
  <c r="P79" i="10"/>
  <c r="T78" i="10"/>
  <c r="S78" i="10"/>
  <c r="R78" i="10"/>
  <c r="Q78" i="10"/>
  <c r="P78" i="10"/>
  <c r="T77" i="10"/>
  <c r="S77" i="10"/>
  <c r="R77" i="10"/>
  <c r="Q77" i="10"/>
  <c r="P77" i="10"/>
  <c r="T76" i="10"/>
  <c r="S76" i="10"/>
  <c r="R76" i="10"/>
  <c r="Q76" i="10"/>
  <c r="P76" i="10"/>
  <c r="T75" i="10"/>
  <c r="S75" i="10"/>
  <c r="R75" i="10"/>
  <c r="Q75" i="10"/>
  <c r="P75" i="10"/>
  <c r="T74" i="10"/>
  <c r="S74" i="10"/>
  <c r="R74" i="10"/>
  <c r="Q74" i="10"/>
  <c r="P74" i="10"/>
  <c r="T73" i="10"/>
  <c r="S73" i="10"/>
  <c r="R73" i="10"/>
  <c r="Q73" i="10"/>
  <c r="P73" i="10"/>
  <c r="T72" i="10"/>
  <c r="S72" i="10"/>
  <c r="R72" i="10"/>
  <c r="Q72" i="10"/>
  <c r="P72" i="10"/>
  <c r="T71" i="10"/>
  <c r="S71" i="10"/>
  <c r="R71" i="10"/>
  <c r="Q71" i="10"/>
  <c r="P71" i="10"/>
  <c r="T70" i="10"/>
  <c r="S70" i="10"/>
  <c r="R70" i="10"/>
  <c r="Q70" i="10"/>
  <c r="P70" i="10"/>
  <c r="T69" i="10"/>
  <c r="S69" i="10"/>
  <c r="R69" i="10"/>
  <c r="Q69" i="10"/>
  <c r="P69" i="10"/>
  <c r="T68" i="10"/>
  <c r="S68" i="10"/>
  <c r="R68" i="10"/>
  <c r="Q68" i="10"/>
  <c r="P68" i="10"/>
  <c r="T67" i="10"/>
  <c r="S67" i="10"/>
  <c r="R67" i="10"/>
  <c r="Q67" i="10"/>
  <c r="P67" i="10"/>
  <c r="T66" i="10"/>
  <c r="S66" i="10"/>
  <c r="R66" i="10"/>
  <c r="Q66" i="10"/>
  <c r="P66" i="10"/>
  <c r="T65" i="10"/>
  <c r="S65" i="10"/>
  <c r="R65" i="10"/>
  <c r="Q65" i="10"/>
  <c r="P65" i="10"/>
  <c r="T64" i="10"/>
  <c r="S64" i="10"/>
  <c r="R64" i="10"/>
  <c r="Q64" i="10"/>
  <c r="P64" i="10"/>
  <c r="T63" i="10"/>
  <c r="S63" i="10"/>
  <c r="R63" i="10"/>
  <c r="Q63" i="10"/>
  <c r="P63" i="10"/>
  <c r="T62" i="10"/>
  <c r="S62" i="10"/>
  <c r="R62" i="10"/>
  <c r="Q62" i="10"/>
  <c r="P62" i="10"/>
  <c r="T61" i="10"/>
  <c r="S61" i="10"/>
  <c r="R61" i="10"/>
  <c r="Q61" i="10"/>
  <c r="P61" i="10"/>
  <c r="T60" i="10"/>
  <c r="S60" i="10"/>
  <c r="R60" i="10"/>
  <c r="Q60" i="10"/>
  <c r="P60" i="10"/>
  <c r="T59" i="10"/>
  <c r="S59" i="10"/>
  <c r="R59" i="10"/>
  <c r="Q59" i="10"/>
  <c r="P59" i="10"/>
  <c r="T58" i="10"/>
  <c r="S58" i="10"/>
  <c r="R58" i="10"/>
  <c r="Q58" i="10"/>
  <c r="P58" i="10"/>
  <c r="T57" i="10"/>
  <c r="S57" i="10"/>
  <c r="R57" i="10"/>
  <c r="Q57" i="10"/>
  <c r="P57" i="10"/>
  <c r="T56" i="10"/>
  <c r="S56" i="10"/>
  <c r="R56" i="10"/>
  <c r="Q56" i="10"/>
  <c r="P56" i="10"/>
  <c r="T55" i="10"/>
  <c r="S55" i="10"/>
  <c r="R55" i="10"/>
  <c r="Q55" i="10"/>
  <c r="P55" i="10"/>
  <c r="T54" i="10"/>
  <c r="S54" i="10"/>
  <c r="R54" i="10"/>
  <c r="Q54" i="10"/>
  <c r="P54" i="10"/>
  <c r="T53" i="10"/>
  <c r="S53" i="10"/>
  <c r="R53" i="10"/>
  <c r="Q53" i="10"/>
  <c r="P53" i="10"/>
  <c r="T52" i="10"/>
  <c r="S52" i="10"/>
  <c r="R52" i="10"/>
  <c r="Q52" i="10"/>
  <c r="P52" i="10"/>
  <c r="T51" i="10"/>
  <c r="S51" i="10"/>
  <c r="R51" i="10"/>
  <c r="Q51" i="10"/>
  <c r="P51" i="10"/>
  <c r="T50" i="10"/>
  <c r="S50" i="10"/>
  <c r="R50" i="10"/>
  <c r="Q50" i="10"/>
  <c r="P50" i="10"/>
  <c r="T49" i="10"/>
  <c r="S49" i="10"/>
  <c r="R49" i="10"/>
  <c r="Q49" i="10"/>
  <c r="P49" i="10"/>
  <c r="T48" i="10"/>
  <c r="S48" i="10"/>
  <c r="R48" i="10"/>
  <c r="Q48" i="10"/>
  <c r="P48" i="10"/>
  <c r="T47" i="10"/>
  <c r="S47" i="10"/>
  <c r="R47" i="10"/>
  <c r="Q47" i="10"/>
  <c r="P47" i="10"/>
  <c r="T46" i="10"/>
  <c r="S46" i="10"/>
  <c r="R46" i="10"/>
  <c r="Q46" i="10"/>
  <c r="P46" i="10"/>
  <c r="T45" i="10"/>
  <c r="S45" i="10"/>
  <c r="R45" i="10"/>
  <c r="Q45" i="10"/>
  <c r="P45" i="10"/>
  <c r="T44" i="10"/>
  <c r="S44" i="10"/>
  <c r="R44" i="10"/>
  <c r="Q44" i="10"/>
  <c r="P44" i="10"/>
  <c r="T43" i="10"/>
  <c r="S43" i="10"/>
  <c r="R43" i="10"/>
  <c r="Q43" i="10"/>
  <c r="P43" i="10"/>
  <c r="T42" i="10"/>
  <c r="S42" i="10"/>
  <c r="R42" i="10"/>
  <c r="Q42" i="10"/>
  <c r="P42" i="10"/>
  <c r="T41" i="10"/>
  <c r="S41" i="10"/>
  <c r="R41" i="10"/>
  <c r="Q41" i="10"/>
  <c r="P41" i="10"/>
  <c r="T40" i="10"/>
  <c r="S40" i="10"/>
  <c r="R40" i="10"/>
  <c r="Q40" i="10"/>
  <c r="P40" i="10"/>
  <c r="T39" i="10"/>
  <c r="S39" i="10"/>
  <c r="R39" i="10"/>
  <c r="Q39" i="10"/>
  <c r="P39" i="10"/>
  <c r="T38" i="10"/>
  <c r="S38" i="10"/>
  <c r="R38" i="10"/>
  <c r="Q38" i="10"/>
  <c r="P38" i="10"/>
  <c r="T37" i="10"/>
  <c r="S37" i="10"/>
  <c r="R37" i="10"/>
  <c r="Q37" i="10"/>
  <c r="P37" i="10"/>
  <c r="T36" i="10"/>
  <c r="S36" i="10"/>
  <c r="R36" i="10"/>
  <c r="Q36" i="10"/>
  <c r="P36" i="10"/>
  <c r="T35" i="10"/>
  <c r="S35" i="10"/>
  <c r="R35" i="10"/>
  <c r="Q35" i="10"/>
  <c r="P35" i="10"/>
  <c r="T34" i="10"/>
  <c r="S34" i="10"/>
  <c r="R34" i="10"/>
  <c r="Q34" i="10"/>
  <c r="P34" i="10"/>
  <c r="T33" i="10"/>
  <c r="S33" i="10"/>
  <c r="R33" i="10"/>
  <c r="Q33" i="10"/>
  <c r="P33" i="10"/>
  <c r="T32" i="10"/>
  <c r="S32" i="10"/>
  <c r="R32" i="10"/>
  <c r="Q32" i="10"/>
  <c r="P32" i="10"/>
  <c r="T31" i="10"/>
  <c r="S31" i="10"/>
  <c r="R31" i="10"/>
  <c r="Q31" i="10"/>
  <c r="P31" i="10"/>
  <c r="T30" i="10"/>
  <c r="S30" i="10"/>
  <c r="R30" i="10"/>
  <c r="Q30" i="10"/>
  <c r="P30" i="10"/>
  <c r="T29" i="10"/>
  <c r="S29" i="10"/>
  <c r="R29" i="10"/>
  <c r="Q29" i="10"/>
  <c r="P29" i="10"/>
  <c r="T28" i="10"/>
  <c r="S28" i="10"/>
  <c r="R28" i="10"/>
  <c r="Q28" i="10"/>
  <c r="P28" i="10"/>
  <c r="T27" i="10"/>
  <c r="S27" i="10"/>
  <c r="R27" i="10"/>
  <c r="Q27" i="10"/>
  <c r="P27" i="10"/>
  <c r="T26" i="10"/>
  <c r="S26" i="10"/>
  <c r="R26" i="10"/>
  <c r="Q26" i="10"/>
  <c r="P26" i="10"/>
  <c r="T25" i="10"/>
  <c r="S25" i="10"/>
  <c r="R25" i="10"/>
  <c r="Q25" i="10"/>
  <c r="P25" i="10"/>
  <c r="T24" i="10"/>
  <c r="S24" i="10"/>
  <c r="R24" i="10"/>
  <c r="Q24" i="10"/>
  <c r="P24" i="10"/>
  <c r="T23" i="10"/>
  <c r="S23" i="10"/>
  <c r="R23" i="10"/>
  <c r="Q23" i="10"/>
  <c r="P23" i="10"/>
  <c r="T22" i="10"/>
  <c r="S22" i="10"/>
  <c r="R22" i="10"/>
  <c r="Q22" i="10"/>
  <c r="P22" i="10"/>
  <c r="T21" i="10"/>
  <c r="S21" i="10"/>
  <c r="R21" i="10"/>
  <c r="Q21" i="10"/>
  <c r="P21" i="10"/>
  <c r="T20" i="10"/>
  <c r="S20" i="10"/>
  <c r="R20" i="10"/>
  <c r="Q20" i="10"/>
  <c r="P20" i="10"/>
  <c r="T19" i="10"/>
  <c r="S19" i="10"/>
  <c r="R19" i="10"/>
  <c r="Q19" i="10"/>
  <c r="P19" i="10"/>
  <c r="T18" i="10"/>
  <c r="S18" i="10"/>
  <c r="R18" i="10"/>
  <c r="Q18" i="10"/>
  <c r="P18" i="10"/>
  <c r="T17" i="10"/>
  <c r="S17" i="10"/>
  <c r="R17" i="10"/>
  <c r="Q17" i="10"/>
  <c r="P17" i="10"/>
  <c r="T16" i="10"/>
  <c r="S16" i="10"/>
  <c r="R16" i="10"/>
  <c r="Q16" i="10"/>
  <c r="P16" i="10"/>
  <c r="T15" i="10"/>
  <c r="S15" i="10"/>
  <c r="R15" i="10"/>
  <c r="Q15" i="10"/>
  <c r="P15" i="10"/>
  <c r="T14" i="10"/>
  <c r="S14" i="10"/>
  <c r="R14" i="10"/>
  <c r="Q14" i="10"/>
  <c r="P14" i="10"/>
  <c r="T13" i="10"/>
  <c r="S13" i="10"/>
  <c r="R13" i="10"/>
  <c r="Q13" i="10"/>
  <c r="P13" i="10"/>
  <c r="T12" i="10"/>
  <c r="S12" i="10"/>
  <c r="R12" i="10"/>
  <c r="Q12" i="10"/>
  <c r="P12" i="10"/>
  <c r="T11" i="10"/>
  <c r="S11" i="10"/>
  <c r="R11" i="10"/>
  <c r="Q11" i="10"/>
  <c r="P11" i="10"/>
  <c r="T10" i="10"/>
  <c r="S10" i="10"/>
  <c r="R10" i="10"/>
  <c r="Q10" i="10"/>
  <c r="P10" i="10"/>
  <c r="T9" i="10"/>
  <c r="S9" i="10"/>
  <c r="R9" i="10"/>
  <c r="Q9" i="10"/>
  <c r="P9" i="10"/>
  <c r="T8" i="10"/>
  <c r="S8" i="10"/>
  <c r="R8" i="10"/>
  <c r="Q8" i="10"/>
  <c r="P8" i="10"/>
  <c r="T7" i="10"/>
  <c r="S7" i="10"/>
  <c r="R7" i="10"/>
  <c r="Q7" i="10"/>
  <c r="P7" i="10"/>
  <c r="T6" i="10"/>
  <c r="S6" i="10"/>
  <c r="R6" i="10"/>
  <c r="Q6" i="10"/>
  <c r="P6" i="10"/>
  <c r="T5" i="10"/>
  <c r="S5" i="10"/>
  <c r="R5" i="10"/>
  <c r="Q5" i="10"/>
  <c r="P5" i="10"/>
  <c r="T4" i="10"/>
  <c r="S4" i="10"/>
  <c r="R4" i="10"/>
  <c r="Q4" i="10"/>
  <c r="P4" i="10"/>
  <c r="T3" i="10"/>
  <c r="S3" i="10"/>
  <c r="R3" i="10"/>
  <c r="Q3" i="10"/>
  <c r="P3" i="10"/>
  <c r="R2" i="10"/>
  <c r="S2" i="10"/>
  <c r="T2" i="10"/>
  <c r="Q2" i="10"/>
  <c r="C100" i="10"/>
  <c r="C99" i="10"/>
  <c r="C98" i="10"/>
  <c r="C97" i="10"/>
  <c r="C96" i="10"/>
  <c r="C95" i="10"/>
  <c r="C94" i="10"/>
  <c r="C93" i="10"/>
  <c r="C92" i="10"/>
  <c r="C91" i="10"/>
  <c r="C90" i="10"/>
  <c r="C89" i="10"/>
  <c r="C88" i="10"/>
  <c r="C87" i="10"/>
  <c r="C86" i="10"/>
  <c r="C85" i="10"/>
  <c r="C84" i="10"/>
  <c r="C83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P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2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2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B72CE0-BF85-46CC-B514-86C9C8C86965}" keepAlive="1" name="Query - OpeningInventories" description="Connection to the 'OpeningInventories' query in the workbook." type="5" refreshedVersion="8" background="1" saveData="1">
    <dbPr connection="Provider=Microsoft.Mashup.OleDb.1;Data Source=$Workbook$;Location=OpeningInventories;Extended Properties=&quot;&quot;" command="SELECT * FROM [OpeningInventories]"/>
  </connection>
</connections>
</file>

<file path=xl/sharedStrings.xml><?xml version="1.0" encoding="utf-8"?>
<sst xmlns="http://schemas.openxmlformats.org/spreadsheetml/2006/main" count="241" uniqueCount="113">
  <si>
    <t>name</t>
  </si>
  <si>
    <t>balance</t>
  </si>
  <si>
    <t>grade_fe</t>
  </si>
  <si>
    <t>priority_preplan</t>
  </si>
  <si>
    <t>priority_period_1</t>
  </si>
  <si>
    <t>priority_period_2</t>
  </si>
  <si>
    <t>equipment</t>
  </si>
  <si>
    <t>reclaim_threshold</t>
  </si>
  <si>
    <t>build_threshold</t>
  </si>
  <si>
    <t>RC</t>
  </si>
  <si>
    <t>EX</t>
  </si>
  <si>
    <t>rate_preplan</t>
  </si>
  <si>
    <t>rate_period_1</t>
  </si>
  <si>
    <t>rate_period_2</t>
  </si>
  <si>
    <t>crusher_rate_preplan</t>
  </si>
  <si>
    <t>crusher_rate_period_1</t>
  </si>
  <si>
    <t>crusher_rate_period_2</t>
  </si>
  <si>
    <t>target_fe_min_preplan</t>
  </si>
  <si>
    <t>target_fe_max_preplan</t>
  </si>
  <si>
    <t>target_fe_min_period_1</t>
  </si>
  <si>
    <t>target_fe_max_period_1</t>
  </si>
  <si>
    <t>target_fe_min_period_2</t>
  </si>
  <si>
    <t>target_fe_max_period_2</t>
  </si>
  <si>
    <t>cost_preplan</t>
  </si>
  <si>
    <t>cost_period_1</t>
  </si>
  <si>
    <t>cost_period_2</t>
  </si>
  <si>
    <t>cash_preplan</t>
  </si>
  <si>
    <t>cash_period_1</t>
  </si>
  <si>
    <t>cash_period_2</t>
  </si>
  <si>
    <t>max_quantity_preplan</t>
  </si>
  <si>
    <t>max_quantity_period_1</t>
  </si>
  <si>
    <t>max_quantity_period_2</t>
  </si>
  <si>
    <t>direct_feed_ratio_min_preplan</t>
  </si>
  <si>
    <t>direct_feed_ratio_max_preplan</t>
  </si>
  <si>
    <t>direct_feed_ratio_min_period_1</t>
  </si>
  <si>
    <t>direct_feed_ratio_max_period_1</t>
  </si>
  <si>
    <t>direct_feed_ratio_min_period_2</t>
  </si>
  <si>
    <t>direct_feed_ratio_max_period_2</t>
  </si>
  <si>
    <t>HUB</t>
  </si>
  <si>
    <t>AREANAME</t>
  </si>
  <si>
    <t>ROMAREANAME</t>
  </si>
  <si>
    <t>TRANSACTIONDIRECTION</t>
  </si>
  <si>
    <t>STOCKPILENAME</t>
  </si>
  <si>
    <t>MATERIAL</t>
  </si>
  <si>
    <t>PRODUCT</t>
  </si>
  <si>
    <t>BALANCEWMT</t>
  </si>
  <si>
    <t>TRANSACTIONDATETIME</t>
  </si>
  <si>
    <t>FE_INSITU_WTAVG</t>
  </si>
  <si>
    <t>SIO2_INSITU_WTAVG</t>
  </si>
  <si>
    <t>AL2O3_INSITU_WTAVG</t>
  </si>
  <si>
    <t>P_INSITU_WTAVG</t>
  </si>
  <si>
    <t>MN_INSITU_WTAVG</t>
  </si>
  <si>
    <t>Western Hub</t>
  </si>
  <si>
    <t>EW</t>
  </si>
  <si>
    <t>Central ROM</t>
  </si>
  <si>
    <t>Stack</t>
  </si>
  <si>
    <t>CEN01_RP01_0104</t>
  </si>
  <si>
    <t>HG</t>
  </si>
  <si>
    <t>CEN01_RP01_0105</t>
  </si>
  <si>
    <t>BLN</t>
  </si>
  <si>
    <t>Reclaim</t>
  </si>
  <si>
    <t>CEN01_RP01_0107</t>
  </si>
  <si>
    <t>CEN01_RP01_0108</t>
  </si>
  <si>
    <t>CEN01_RP01_0110</t>
  </si>
  <si>
    <t>Eliwana Drive ROM</t>
  </si>
  <si>
    <t>ELD01_RP01_0701</t>
  </si>
  <si>
    <t>ELW01_RP01_0212</t>
  </si>
  <si>
    <t>ELW01_RP01_0221</t>
  </si>
  <si>
    <t>LG</t>
  </si>
  <si>
    <t>ELW01_RP01_0222</t>
  </si>
  <si>
    <t>ELFB</t>
  </si>
  <si>
    <t>ELW01_RP01_0807</t>
  </si>
  <si>
    <t>ELW01_RP01_0808</t>
  </si>
  <si>
    <t>FLY01_RP01_0102</t>
  </si>
  <si>
    <t>FLY01_RP01_0105</t>
  </si>
  <si>
    <t>FLY01_RP01_0801</t>
  </si>
  <si>
    <t>FLY01_RP01_0802</t>
  </si>
  <si>
    <t>WED01_RP01_0703</t>
  </si>
  <si>
    <t>WED01_RP01_0803</t>
  </si>
  <si>
    <t>CEN01_RP01_0106</t>
  </si>
  <si>
    <t>CEN01_RP01_0109</t>
  </si>
  <si>
    <t>ELW01_RP01_0211</t>
  </si>
  <si>
    <t>FLY01_RP01_0101</t>
  </si>
  <si>
    <t>FLY01_RP01_0104</t>
  </si>
  <si>
    <t>grade_si</t>
  </si>
  <si>
    <t>grade_al</t>
  </si>
  <si>
    <t>grade_p</t>
  </si>
  <si>
    <t>grade_mn</t>
  </si>
  <si>
    <t>sf_state</t>
  </si>
  <si>
    <t>target_si_min_preplan</t>
  </si>
  <si>
    <t>target_si_max_preplan</t>
  </si>
  <si>
    <t>target_al_min_preplan</t>
  </si>
  <si>
    <t>target_al_max_preplan</t>
  </si>
  <si>
    <t>target_p_min_preplan</t>
  </si>
  <si>
    <t>target_p_max_preplan</t>
  </si>
  <si>
    <t>target_mn_min_preplan</t>
  </si>
  <si>
    <t>target_mn_max_preplan</t>
  </si>
  <si>
    <t>target_si_min_period_1</t>
  </si>
  <si>
    <t>target_si_max_period_1</t>
  </si>
  <si>
    <t>target_al_min_period_1</t>
  </si>
  <si>
    <t>target_al_max_period_1</t>
  </si>
  <si>
    <t>target_p_min_period_1</t>
  </si>
  <si>
    <t>target_p_max_period_1</t>
  </si>
  <si>
    <t>target_mn_min_period_1</t>
  </si>
  <si>
    <t>target_mn_max_period_1</t>
  </si>
  <si>
    <t>target_si_min_period_2</t>
  </si>
  <si>
    <t>target_si_max_period_2</t>
  </si>
  <si>
    <t>target_al_min_period_2</t>
  </si>
  <si>
    <t>target_al_max_period_2</t>
  </si>
  <si>
    <t>target_p_min_period_2</t>
  </si>
  <si>
    <t>target_p_max_period_2</t>
  </si>
  <si>
    <t>target_mn_min_period_2</t>
  </si>
  <si>
    <t>target_mn_max_period_2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</si>
</sst>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8"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D4D25DD-3BB0-465C-8858-B52F2EA48F79}" autoFormatId="16" applyNumberFormats="0" applyBorderFormats="0" applyFontFormats="0" applyPatternFormats="0" applyAlignmentFormats="0" applyWidthHeightFormats="0">
  <queryTableRefresh nextId="15">
    <queryTableFields count="14">
      <queryTableField id="1" name="HUB" tableColumnId="1"/>
      <queryTableField id="2" name="AREANAME" tableColumnId="2"/>
      <queryTableField id="3" name="ROMAREANAME" tableColumnId="3"/>
      <queryTableField id="4" name="TRANSACTIONDIRECTION" tableColumnId="4"/>
      <queryTableField id="5" name="STOCKPILENAME" tableColumnId="5"/>
      <queryTableField id="6" name="MATERIAL" tableColumnId="6"/>
      <queryTableField id="7" name="PRODUCT" tableColumnId="7"/>
      <queryTableField id="8" name="BALANCEWMT" tableColumnId="8"/>
      <queryTableField id="9" name="TRANSACTIONDATETIME" tableColumnId="9"/>
      <queryTableField id="10" name="FE_INSITU_WTAVG" tableColumnId="10"/>
      <queryTableField id="11" name="SIO2_INSITU_WTAVG" tableColumnId="11"/>
      <queryTableField id="12" name="AL2O3_INSITU_WTAVG" tableColumnId="12"/>
      <queryTableField id="13" name="P_INSITU_WTAVG" tableColumnId="13"/>
      <queryTableField id="14" name="MN_INSITU_WTAVG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E15860-187E-48F8-995B-99AF4B0C0D74}" name="OpeningInventories" displayName="OpeningInventories" ref="A1:N23" tableType="queryTable" totalsRowShown="0">
  <autoFilter ref="A1:N23" xr:uid="{6DE15860-187E-48F8-995B-99AF4B0C0D74}"/>
  <tableColumns count="14">
    <tableColumn id="1" xr3:uid="{F9D4BE78-73D1-47A4-9900-3008BC305C63}" uniqueName="1" name="HUB" queryTableFieldId="1" dataDxfId="7"/>
    <tableColumn id="2" xr3:uid="{D4385C8D-8141-4758-A07D-840F8EBFEAD9}" uniqueName="2" name="AREANAME" queryTableFieldId="2" dataDxfId="6"/>
    <tableColumn id="3" xr3:uid="{6F01BBD1-D314-4219-8718-C2327DE92970}" uniqueName="3" name="ROMAREANAME" queryTableFieldId="3" dataDxfId="5"/>
    <tableColumn id="4" xr3:uid="{6935B073-49AB-47A9-A12E-71899263D97E}" uniqueName="4" name="TRANSACTIONDIRECTION" queryTableFieldId="4" dataDxfId="4"/>
    <tableColumn id="5" xr3:uid="{6A7FA180-8916-4154-AC00-F0AC2FDC0E7D}" uniqueName="5" name="STOCKPILENAME" queryTableFieldId="5" dataDxfId="3"/>
    <tableColumn id="6" xr3:uid="{8947FC88-97E0-4154-A68A-D93889050C4B}" uniqueName="6" name="MATERIAL" queryTableFieldId="6" dataDxfId="2"/>
    <tableColumn id="7" xr3:uid="{EB756445-AAE4-4CAD-A5CF-66E2BAD2D169}" uniqueName="7" name="PRODUCT" queryTableFieldId="7" dataDxfId="1"/>
    <tableColumn id="8" xr3:uid="{E483A054-6394-4DB9-8A7F-5E6CF0ADA5FD}" uniqueName="8" name="BALANCEWMT" queryTableFieldId="8"/>
    <tableColumn id="9" xr3:uid="{7EF59ECE-C7A7-4171-A519-C672469A8A2A}" uniqueName="9" name="TRANSACTIONDATETIME" queryTableFieldId="9" dataDxfId="0"/>
    <tableColumn id="10" xr3:uid="{72E8F788-D1F8-44A5-8CA8-BDF04BE4B7E2}" uniqueName="10" name="FE_INSITU_WTAVG" queryTableFieldId="10"/>
    <tableColumn id="11" xr3:uid="{BC31CB43-F883-4F28-AC85-EC378B214909}" uniqueName="11" name="SIO2_INSITU_WTAVG" queryTableFieldId="11"/>
    <tableColumn id="12" xr3:uid="{730AED86-2D68-4A34-A22C-5F3C784C6B1B}" uniqueName="12" name="AL2O3_INSITU_WTAVG" queryTableFieldId="12"/>
    <tableColumn id="13" xr3:uid="{C482E41F-97AC-4C3E-9706-142DFC6CBC75}" uniqueName="13" name="P_INSITU_WTAVG" queryTableFieldId="13"/>
    <tableColumn id="14" xr3:uid="{3717112C-5B9B-4DB8-8E26-8730A4BA3A13}" uniqueName="14" name="MN_INSITU_WTAVG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"/>
  <sheetViews>
    <sheetView workbookViewId="0">
      <selection activeCell="E2" sqref="E2:G3"/>
    </sheetView>
  </sheetViews>
  <sheetFormatPr defaultRowHeight="14.4" x14ac:dyDescent="0.3"/>
  <cols>
    <col min="2" max="2" width="14.6640625" bestFit="1" customWidth="1"/>
    <col min="3" max="4" width="15.44140625" bestFit="1" customWidth="1"/>
    <col min="5" max="5" width="11.77734375" bestFit="1" customWidth="1"/>
    <col min="6" max="6" width="12.44140625" customWidth="1"/>
    <col min="7" max="7" width="12.44140625" bestFit="1" customWidth="1"/>
  </cols>
  <sheetData>
    <row r="1" spans="1:7" x14ac:dyDescent="0.3">
      <c r="A1" t="s">
        <v>0</v>
      </c>
      <c r="B1" t="s">
        <v>3</v>
      </c>
      <c r="C1" t="s">
        <v>4</v>
      </c>
      <c r="D1" t="s">
        <v>5</v>
      </c>
      <c r="E1" t="s">
        <v>11</v>
      </c>
      <c r="F1" t="s">
        <v>12</v>
      </c>
      <c r="G1" t="s">
        <v>13</v>
      </c>
    </row>
    <row r="2" spans="1:7" x14ac:dyDescent="0.3">
      <c r="A2" t="s">
        <v>9</v>
      </c>
      <c r="B2">
        <v>1</v>
      </c>
      <c r="C2">
        <v>1</v>
      </c>
      <c r="D2">
        <v>1</v>
      </c>
      <c r="E2">
        <v>1000</v>
      </c>
      <c r="F2">
        <v>1000</v>
      </c>
      <c r="G2">
        <v>1000</v>
      </c>
    </row>
    <row r="3" spans="1:7" x14ac:dyDescent="0.3">
      <c r="A3" t="s">
        <v>10</v>
      </c>
      <c r="B3">
        <v>1</v>
      </c>
      <c r="C3">
        <v>1</v>
      </c>
      <c r="D3">
        <v>1</v>
      </c>
      <c r="E3">
        <v>1000</v>
      </c>
      <c r="F3">
        <v>1000</v>
      </c>
      <c r="G3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2"/>
  <sheetViews>
    <sheetView tabSelected="1" topLeftCell="AB1" workbookViewId="0">
      <selection activeCell="U2" sqref="U2:AD2"/>
    </sheetView>
  </sheetViews>
  <sheetFormatPr defaultRowHeight="14.4" x14ac:dyDescent="0.3"/>
  <cols>
    <col min="1" max="1" width="20.109375" bestFit="1" customWidth="1"/>
    <col min="2" max="2" width="20.44140625" bestFit="1" customWidth="1"/>
    <col min="3" max="3" width="20.109375" bestFit="1" customWidth="1"/>
    <col min="4" max="4" width="20.44140625" bestFit="1" customWidth="1"/>
    <col min="5" max="5" width="20.109375" bestFit="1" customWidth="1"/>
    <col min="6" max="6" width="20.44140625" bestFit="1" customWidth="1"/>
    <col min="7" max="7" width="20.109375" bestFit="1" customWidth="1"/>
    <col min="8" max="8" width="20.44140625" bestFit="1" customWidth="1"/>
    <col min="9" max="9" width="20.109375" bestFit="1" customWidth="1"/>
    <col min="10" max="10" width="20.44140625" bestFit="1" customWidth="1"/>
    <col min="11" max="11" width="21" bestFit="1" customWidth="1"/>
    <col min="12" max="12" width="21.21875" bestFit="1" customWidth="1"/>
    <col min="13" max="13" width="21" bestFit="1" customWidth="1"/>
    <col min="14" max="14" width="21.21875" bestFit="1" customWidth="1"/>
    <col min="15" max="15" width="21.109375" bestFit="1" customWidth="1"/>
    <col min="16" max="16" width="21.33203125" bestFit="1" customWidth="1"/>
    <col min="17" max="17" width="20.44140625" bestFit="1" customWidth="1"/>
    <col min="18" max="18" width="20.77734375" bestFit="1" customWidth="1"/>
    <col min="19" max="19" width="22.21875" bestFit="1" customWidth="1"/>
    <col min="20" max="20" width="22.44140625" bestFit="1" customWidth="1"/>
    <col min="21" max="21" width="21" bestFit="1" customWidth="1"/>
    <col min="22" max="22" width="21.21875" bestFit="1" customWidth="1"/>
    <col min="23" max="23" width="21" bestFit="1" customWidth="1"/>
    <col min="24" max="24" width="21.21875" bestFit="1" customWidth="1"/>
    <col min="25" max="25" width="21.109375" bestFit="1" customWidth="1"/>
    <col min="26" max="26" width="21.33203125" bestFit="1" customWidth="1"/>
    <col min="27" max="27" width="20.44140625" bestFit="1" customWidth="1"/>
    <col min="28" max="28" width="20.77734375" bestFit="1" customWidth="1"/>
    <col min="29" max="29" width="22.21875" bestFit="1" customWidth="1"/>
    <col min="30" max="30" width="22.44140625" bestFit="1" customWidth="1"/>
    <col min="31" max="31" width="27.33203125" bestFit="1" customWidth="1"/>
    <col min="32" max="32" width="20.44140625" customWidth="1"/>
    <col min="33" max="36" width="21.21875" customWidth="1"/>
    <col min="37" max="37" width="19.44140625" bestFit="1" customWidth="1"/>
    <col min="38" max="39" width="20.109375" bestFit="1" customWidth="1"/>
  </cols>
  <sheetData>
    <row r="1" spans="1:39" x14ac:dyDescent="0.3">
      <c r="A1" t="s">
        <v>17</v>
      </c>
      <c r="B1" t="s">
        <v>18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19</v>
      </c>
      <c r="L1" t="s">
        <v>20</v>
      </c>
      <c r="M1" t="s">
        <v>97</v>
      </c>
      <c r="N1" t="s">
        <v>98</v>
      </c>
      <c r="O1" t="s">
        <v>99</v>
      </c>
      <c r="P1" t="s">
        <v>100</v>
      </c>
      <c r="Q1" t="s">
        <v>101</v>
      </c>
      <c r="R1" t="s">
        <v>102</v>
      </c>
      <c r="S1" t="s">
        <v>103</v>
      </c>
      <c r="T1" t="s">
        <v>104</v>
      </c>
      <c r="U1" t="s">
        <v>21</v>
      </c>
      <c r="V1" t="s">
        <v>22</v>
      </c>
      <c r="W1" t="s">
        <v>105</v>
      </c>
      <c r="X1" t="s">
        <v>106</v>
      </c>
      <c r="Y1" t="s">
        <v>107</v>
      </c>
      <c r="Z1" t="s">
        <v>108</v>
      </c>
      <c r="AA1" t="s">
        <v>109</v>
      </c>
      <c r="AB1" t="s">
        <v>110</v>
      </c>
      <c r="AC1" t="s">
        <v>111</v>
      </c>
      <c r="AD1" t="s">
        <v>112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14</v>
      </c>
      <c r="AL1" t="s">
        <v>15</v>
      </c>
      <c r="AM1" t="s">
        <v>16</v>
      </c>
    </row>
    <row r="2" spans="1:39" x14ac:dyDescent="0.3">
      <c r="A2">
        <v>58.5</v>
      </c>
      <c r="B2">
        <v>61</v>
      </c>
      <c r="C2">
        <v>0</v>
      </c>
      <c r="D2">
        <v>5</v>
      </c>
      <c r="E2">
        <v>0</v>
      </c>
      <c r="F2">
        <v>3</v>
      </c>
      <c r="G2">
        <v>0</v>
      </c>
      <c r="H2">
        <v>2</v>
      </c>
      <c r="I2">
        <v>0</v>
      </c>
      <c r="J2">
        <v>2</v>
      </c>
      <c r="K2">
        <v>58.5</v>
      </c>
      <c r="L2">
        <v>61</v>
      </c>
      <c r="M2">
        <v>0</v>
      </c>
      <c r="N2">
        <v>5</v>
      </c>
      <c r="O2">
        <v>0</v>
      </c>
      <c r="P2">
        <v>3</v>
      </c>
      <c r="Q2">
        <v>0</v>
      </c>
      <c r="R2">
        <v>2</v>
      </c>
      <c r="S2">
        <v>0</v>
      </c>
      <c r="T2">
        <v>2</v>
      </c>
      <c r="U2">
        <v>58.5</v>
      </c>
      <c r="V2">
        <v>61</v>
      </c>
      <c r="W2">
        <v>0</v>
      </c>
      <c r="X2">
        <v>5</v>
      </c>
      <c r="Y2">
        <v>0</v>
      </c>
      <c r="Z2">
        <v>3</v>
      </c>
      <c r="AA2">
        <v>0</v>
      </c>
      <c r="AB2">
        <v>2</v>
      </c>
      <c r="AC2">
        <v>0</v>
      </c>
      <c r="AD2">
        <v>2</v>
      </c>
      <c r="AE2">
        <v>0</v>
      </c>
      <c r="AF2">
        <v>1</v>
      </c>
      <c r="AG2">
        <v>0</v>
      </c>
      <c r="AH2">
        <v>1</v>
      </c>
      <c r="AI2">
        <v>0</v>
      </c>
      <c r="AJ2">
        <v>1</v>
      </c>
      <c r="AK2">
        <v>3500</v>
      </c>
      <c r="AL2">
        <v>3500</v>
      </c>
      <c r="AM2">
        <v>3500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"/>
  <sheetViews>
    <sheetView topLeftCell="C1" workbookViewId="0">
      <selection activeCell="H33" sqref="H33"/>
    </sheetView>
  </sheetViews>
  <sheetFormatPr defaultRowHeight="14.4" x14ac:dyDescent="0.3"/>
  <cols>
    <col min="4" max="4" width="22.21875" customWidth="1"/>
    <col min="5" max="6" width="19.33203125" bestFit="1" customWidth="1"/>
    <col min="7" max="7" width="21.77734375" bestFit="1" customWidth="1"/>
    <col min="8" max="9" width="15.44140625" bestFit="1" customWidth="1"/>
    <col min="10" max="12" width="15.44140625" customWidth="1"/>
    <col min="13" max="13" width="10.109375" bestFit="1" customWidth="1"/>
    <col min="14" max="14" width="16.77734375" bestFit="1" customWidth="1"/>
    <col min="15" max="15" width="14.5546875" bestFit="1" customWidth="1"/>
  </cols>
  <sheetData>
    <row r="1" spans="1:20" x14ac:dyDescent="0.3">
      <c r="A1" t="s">
        <v>0</v>
      </c>
      <c r="B1" t="s">
        <v>1</v>
      </c>
      <c r="C1" t="s">
        <v>88</v>
      </c>
      <c r="D1" t="s">
        <v>29</v>
      </c>
      <c r="E1" t="s">
        <v>30</v>
      </c>
      <c r="F1" t="s">
        <v>31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6</v>
      </c>
      <c r="N1" t="s">
        <v>7</v>
      </c>
      <c r="O1" t="s">
        <v>8</v>
      </c>
      <c r="P1" t="s">
        <v>2</v>
      </c>
      <c r="Q1" t="s">
        <v>84</v>
      </c>
      <c r="R1" t="s">
        <v>85</v>
      </c>
      <c r="S1" t="s">
        <v>86</v>
      </c>
      <c r="T1" t="s">
        <v>87</v>
      </c>
    </row>
    <row r="2" spans="1:20" x14ac:dyDescent="0.3">
      <c r="A2" t="str">
        <f>IFERROR(OpeningInventories[[#This Row],[STOCKPILENAME]],"")</f>
        <v>CEN01_RP01_0104</v>
      </c>
      <c r="B2">
        <f>IFERROR(OpeningInventories[[#This Row],[BALANCEWMT]],"")</f>
        <v>366621.88949999999</v>
      </c>
      <c r="C2" t="str">
        <f>IFERROR(OpeningInventories[[#This Row],[TRANSACTIONDIRECTION]],"")</f>
        <v>Stack</v>
      </c>
      <c r="D2">
        <v>15000</v>
      </c>
      <c r="E2">
        <v>15000</v>
      </c>
      <c r="F2">
        <v>15000</v>
      </c>
      <c r="G2">
        <v>0</v>
      </c>
      <c r="H2">
        <v>0</v>
      </c>
      <c r="I2">
        <v>0</v>
      </c>
      <c r="J2">
        <v>60</v>
      </c>
      <c r="K2">
        <v>60</v>
      </c>
      <c r="L2">
        <v>60</v>
      </c>
      <c r="M2" t="s">
        <v>9</v>
      </c>
      <c r="N2">
        <v>20000</v>
      </c>
      <c r="O2">
        <v>0</v>
      </c>
      <c r="P2">
        <f>IFERROR(OpeningInventories[[#This Row],[FE_INSITU_WTAVG]],"")</f>
        <v>61.477307236232249</v>
      </c>
      <c r="Q2">
        <f>IFERROR(OpeningInventories[[#This Row],[SIO2_INSITU_WTAVG]],"")</f>
        <v>3.8636422713947809</v>
      </c>
      <c r="R2">
        <f>IFERROR(OpeningInventories[[#This Row],[AL2O3_INSITU_WTAVG]],"")</f>
        <v>2.516706629273084</v>
      </c>
      <c r="S2">
        <f>IFERROR(OpeningInventories[[#This Row],[P_INSITU_WTAVG]],"")</f>
        <v>0.12074213055274668</v>
      </c>
      <c r="T2">
        <f>IFERROR(OpeningInventories[[#This Row],[MN_INSITU_WTAVG]],"")</f>
        <v>4.1509304680857478E-2</v>
      </c>
    </row>
    <row r="3" spans="1:20" x14ac:dyDescent="0.3">
      <c r="A3" t="str">
        <f>IFERROR(OpeningInventories[[#This Row],[STOCKPILENAME]],"")</f>
        <v>CEN01_RP01_0105</v>
      </c>
      <c r="B3">
        <f>IFERROR(OpeningInventories[[#This Row],[BALANCEWMT]],"")</f>
        <v>369144.38899999997</v>
      </c>
      <c r="C3" t="str">
        <f>IFERROR(OpeningInventories[[#This Row],[TRANSACTIONDIRECTION]],"")</f>
        <v>Reclaim</v>
      </c>
      <c r="D3">
        <v>20000</v>
      </c>
      <c r="E3">
        <v>20000</v>
      </c>
      <c r="F3">
        <v>20000</v>
      </c>
      <c r="G3">
        <v>0</v>
      </c>
      <c r="H3">
        <v>0</v>
      </c>
      <c r="I3">
        <v>0</v>
      </c>
      <c r="J3">
        <v>60</v>
      </c>
      <c r="K3">
        <v>60</v>
      </c>
      <c r="L3">
        <v>60</v>
      </c>
      <c r="M3" t="s">
        <v>9</v>
      </c>
      <c r="N3">
        <v>20000</v>
      </c>
      <c r="O3">
        <v>0</v>
      </c>
      <c r="P3">
        <f>IFERROR(OpeningInventories[[#This Row],[FE_INSITU_WTAVG]],"")</f>
        <v>59.580084798070871</v>
      </c>
      <c r="Q3">
        <f>IFERROR(OpeningInventories[[#This Row],[SIO2_INSITU_WTAVG]],"")</f>
        <v>5.2538880405507014</v>
      </c>
      <c r="R3">
        <f>IFERROR(OpeningInventories[[#This Row],[AL2O3_INSITU_WTAVG]],"")</f>
        <v>2.3687397057977155</v>
      </c>
      <c r="S3">
        <f>IFERROR(OpeningInventories[[#This Row],[P_INSITU_WTAVG]],"")</f>
        <v>0.11247771246205278</v>
      </c>
      <c r="T3">
        <f>IFERROR(OpeningInventories[[#This Row],[MN_INSITU_WTAVG]],"")</f>
        <v>3.1749504113244877E-2</v>
      </c>
    </row>
    <row r="4" spans="1:20" x14ac:dyDescent="0.3">
      <c r="A4" t="str">
        <f>IFERROR(OpeningInventories[[#This Row],[STOCKPILENAME]],"")</f>
        <v>CEN01_RP01_0106</v>
      </c>
      <c r="B4">
        <f>IFERROR(OpeningInventories[[#This Row],[BALANCEWMT]],"")</f>
        <v>89345</v>
      </c>
      <c r="C4" t="str">
        <f>IFERROR(OpeningInventories[[#This Row],[TRANSACTIONDIRECTION]],"")</f>
        <v>Stack</v>
      </c>
      <c r="D4">
        <v>20000</v>
      </c>
      <c r="E4">
        <v>20000</v>
      </c>
      <c r="F4">
        <v>20000</v>
      </c>
      <c r="G4">
        <v>0</v>
      </c>
      <c r="H4">
        <v>0</v>
      </c>
      <c r="I4">
        <v>0</v>
      </c>
      <c r="J4">
        <v>60</v>
      </c>
      <c r="K4">
        <v>60</v>
      </c>
      <c r="L4">
        <v>60</v>
      </c>
      <c r="M4" t="s">
        <v>9</v>
      </c>
      <c r="N4">
        <v>20000</v>
      </c>
      <c r="O4">
        <v>0</v>
      </c>
      <c r="P4">
        <f>IFERROR(OpeningInventories[[#This Row],[FE_INSITU_WTAVG]],"")</f>
        <v>59.883468563944113</v>
      </c>
      <c r="Q4">
        <f>IFERROR(OpeningInventories[[#This Row],[SIO2_INSITU_WTAVG]],"")</f>
        <v>4.1996001955675712</v>
      </c>
      <c r="R4">
        <f>IFERROR(OpeningInventories[[#This Row],[AL2O3_INSITU_WTAVG]],"")</f>
        <v>2.8116592318517029</v>
      </c>
      <c r="S4">
        <f>IFERROR(OpeningInventories[[#This Row],[P_INSITU_WTAVG]],"")</f>
        <v>0.10735070156647317</v>
      </c>
      <c r="T4">
        <f>IFERROR(OpeningInventories[[#This Row],[MN_INSITU_WTAVG]],"")</f>
        <v>4.7718262790655344E-2</v>
      </c>
    </row>
    <row r="5" spans="1:20" x14ac:dyDescent="0.3">
      <c r="A5" t="str">
        <f>IFERROR(OpeningInventories[[#This Row],[STOCKPILENAME]],"")</f>
        <v>CEN01_RP01_0107</v>
      </c>
      <c r="B5">
        <f>IFERROR(OpeningInventories[[#This Row],[BALANCEWMT]],"")</f>
        <v>65409.630000000005</v>
      </c>
      <c r="C5" t="str">
        <f>IFERROR(OpeningInventories[[#This Row],[TRANSACTIONDIRECTION]],"")</f>
        <v>Stack</v>
      </c>
      <c r="D5">
        <v>20000</v>
      </c>
      <c r="E5">
        <v>20000</v>
      </c>
      <c r="F5">
        <v>20000</v>
      </c>
      <c r="G5">
        <v>0</v>
      </c>
      <c r="H5">
        <v>0</v>
      </c>
      <c r="I5">
        <v>0</v>
      </c>
      <c r="J5">
        <v>50</v>
      </c>
      <c r="K5">
        <v>50</v>
      </c>
      <c r="L5">
        <v>50</v>
      </c>
      <c r="M5" t="s">
        <v>9</v>
      </c>
      <c r="N5">
        <v>20000</v>
      </c>
      <c r="O5">
        <v>0</v>
      </c>
      <c r="P5">
        <f>IFERROR(OpeningInventories[[#This Row],[FE_INSITU_WTAVG]],"")</f>
        <v>60.134938730614707</v>
      </c>
      <c r="Q5">
        <f>IFERROR(OpeningInventories[[#This Row],[SIO2_INSITU_WTAVG]],"")</f>
        <v>4.4678293114314123</v>
      </c>
      <c r="R5">
        <f>IFERROR(OpeningInventories[[#This Row],[AL2O3_INSITU_WTAVG]],"")</f>
        <v>3.2847937133180731</v>
      </c>
      <c r="S5">
        <f>IFERROR(OpeningInventories[[#This Row],[P_INSITU_WTAVG]],"")</f>
        <v>0.13499971331614133</v>
      </c>
      <c r="T5">
        <f>IFERROR(OpeningInventories[[#This Row],[MN_INSITU_WTAVG]],"")</f>
        <v>7.5757018229725637E-2</v>
      </c>
    </row>
    <row r="6" spans="1:20" x14ac:dyDescent="0.3">
      <c r="A6" t="str">
        <f>IFERROR(OpeningInventories[[#This Row],[STOCKPILENAME]],"")</f>
        <v>CEN01_RP01_0108</v>
      </c>
      <c r="B6">
        <f>IFERROR(OpeningInventories[[#This Row],[BALANCEWMT]],"")</f>
        <v>22861.677250000008</v>
      </c>
      <c r="C6" t="str">
        <f>IFERROR(OpeningInventories[[#This Row],[TRANSACTIONDIRECTION]],"")</f>
        <v>Reclaim</v>
      </c>
      <c r="D6">
        <v>20000</v>
      </c>
      <c r="E6">
        <v>20000</v>
      </c>
      <c r="F6">
        <v>20000</v>
      </c>
      <c r="G6">
        <v>0</v>
      </c>
      <c r="H6">
        <v>0</v>
      </c>
      <c r="I6">
        <v>0</v>
      </c>
      <c r="J6">
        <v>50</v>
      </c>
      <c r="K6">
        <v>50</v>
      </c>
      <c r="L6">
        <v>50</v>
      </c>
      <c r="M6" t="s">
        <v>9</v>
      </c>
      <c r="N6">
        <v>20000</v>
      </c>
      <c r="O6">
        <v>0</v>
      </c>
      <c r="P6">
        <f>IFERROR(OpeningInventories[[#This Row],[FE_INSITU_WTAVG]],"")</f>
        <v>59.956343550245847</v>
      </c>
      <c r="Q6">
        <f>IFERROR(OpeningInventories[[#This Row],[SIO2_INSITU_WTAVG]],"")</f>
        <v>5.3429231253878884</v>
      </c>
      <c r="R6">
        <f>IFERROR(OpeningInventories[[#This Row],[AL2O3_INSITU_WTAVG]],"")</f>
        <v>3.1186436211731672</v>
      </c>
      <c r="S6">
        <f>IFERROR(OpeningInventories[[#This Row],[P_INSITU_WTAVG]],"")</f>
        <v>0.12664266526198908</v>
      </c>
      <c r="T6">
        <f>IFERROR(OpeningInventories[[#This Row],[MN_INSITU_WTAVG]],"")</f>
        <v>3.1999015765260423E-2</v>
      </c>
    </row>
    <row r="7" spans="1:20" x14ac:dyDescent="0.3">
      <c r="A7" t="str">
        <f>IFERROR(OpeningInventories[[#This Row],[STOCKPILENAME]],"")</f>
        <v>CEN01_RP01_0109</v>
      </c>
      <c r="B7">
        <f>IFERROR(OpeningInventories[[#This Row],[BALANCEWMT]],"")</f>
        <v>445765.93425000005</v>
      </c>
      <c r="C7" t="str">
        <f>IFERROR(OpeningInventories[[#This Row],[TRANSACTIONDIRECTION]],"")</f>
        <v>Reclaim</v>
      </c>
      <c r="D7">
        <v>20000</v>
      </c>
      <c r="E7">
        <v>20000</v>
      </c>
      <c r="F7">
        <v>20000</v>
      </c>
      <c r="G7">
        <v>0</v>
      </c>
      <c r="H7">
        <v>0</v>
      </c>
      <c r="I7">
        <v>0</v>
      </c>
      <c r="J7">
        <v>50</v>
      </c>
      <c r="K7">
        <v>50</v>
      </c>
      <c r="L7">
        <v>50</v>
      </c>
      <c r="M7" t="s">
        <v>9</v>
      </c>
      <c r="N7">
        <v>20000</v>
      </c>
      <c r="O7">
        <v>0</v>
      </c>
      <c r="P7">
        <f>IFERROR(OpeningInventories[[#This Row],[FE_INSITU_WTAVG]],"")</f>
        <v>61.795492014279141</v>
      </c>
      <c r="Q7">
        <f>IFERROR(OpeningInventories[[#This Row],[SIO2_INSITU_WTAVG]],"")</f>
        <v>3.9093537543977193</v>
      </c>
      <c r="R7">
        <f>IFERROR(OpeningInventories[[#This Row],[AL2O3_INSITU_WTAVG]],"")</f>
        <v>2.3062204770750117</v>
      </c>
      <c r="S7">
        <f>IFERROR(OpeningInventories[[#This Row],[P_INSITU_WTAVG]],"")</f>
        <v>0.12214138499647757</v>
      </c>
      <c r="T7">
        <f>IFERROR(OpeningInventories[[#This Row],[MN_INSITU_WTAVG]],"")</f>
        <v>3.6055612168878759E-2</v>
      </c>
    </row>
    <row r="8" spans="1:20" x14ac:dyDescent="0.3">
      <c r="A8" t="str">
        <f>IFERROR(OpeningInventories[[#This Row],[STOCKPILENAME]],"")</f>
        <v>CEN01_RP01_0110</v>
      </c>
      <c r="B8">
        <f>IFERROR(OpeningInventories[[#This Row],[BALANCEWMT]],"")</f>
        <v>118960.37325</v>
      </c>
      <c r="C8" t="str">
        <f>IFERROR(OpeningInventories[[#This Row],[TRANSACTIONDIRECTION]],"")</f>
        <v>Reclaim</v>
      </c>
      <c r="D8">
        <v>20000</v>
      </c>
      <c r="E8">
        <v>20000</v>
      </c>
      <c r="F8">
        <v>20000</v>
      </c>
      <c r="G8">
        <v>0</v>
      </c>
      <c r="H8">
        <v>0</v>
      </c>
      <c r="I8">
        <v>0</v>
      </c>
      <c r="J8">
        <v>50</v>
      </c>
      <c r="K8">
        <v>50</v>
      </c>
      <c r="L8">
        <v>50</v>
      </c>
      <c r="M8" t="s">
        <v>9</v>
      </c>
      <c r="N8">
        <v>20000</v>
      </c>
      <c r="O8">
        <v>0</v>
      </c>
      <c r="P8">
        <f>IFERROR(OpeningInventories[[#This Row],[FE_INSITU_WTAVG]],"")</f>
        <v>61.178959226719492</v>
      </c>
      <c r="Q8">
        <f>IFERROR(OpeningInventories[[#This Row],[SIO2_INSITU_WTAVG]],"")</f>
        <v>4.2341996846239311</v>
      </c>
      <c r="R8">
        <f>IFERROR(OpeningInventories[[#This Row],[AL2O3_INSITU_WTAVG]],"")</f>
        <v>1.9534668365764916</v>
      </c>
      <c r="S8">
        <f>IFERROR(OpeningInventories[[#This Row],[P_INSITU_WTAVG]],"")</f>
        <v>0.14379460320881984</v>
      </c>
      <c r="T8">
        <f>IFERROR(OpeningInventories[[#This Row],[MN_INSITU_WTAVG]],"")</f>
        <v>3.1630822078847209E-2</v>
      </c>
    </row>
    <row r="9" spans="1:20" x14ac:dyDescent="0.3">
      <c r="A9" t="str">
        <f>IFERROR(OpeningInventories[[#This Row],[STOCKPILENAME]],"")</f>
        <v>ELD01_RP01_0701</v>
      </c>
      <c r="B9">
        <f>IFERROR(OpeningInventories[[#This Row],[BALANCEWMT]],"")</f>
        <v>-427</v>
      </c>
      <c r="C9" t="str">
        <f>IFERROR(OpeningInventories[[#This Row],[TRANSACTIONDIRECTION]],"")</f>
        <v>Reclaim</v>
      </c>
      <c r="D9">
        <v>20000</v>
      </c>
      <c r="E9">
        <v>20000</v>
      </c>
      <c r="F9">
        <v>20000</v>
      </c>
      <c r="G9">
        <v>0</v>
      </c>
      <c r="H9">
        <v>0</v>
      </c>
      <c r="I9">
        <v>0</v>
      </c>
      <c r="J9">
        <v>50</v>
      </c>
      <c r="K9">
        <v>50</v>
      </c>
      <c r="L9">
        <v>50</v>
      </c>
      <c r="M9" t="s">
        <v>9</v>
      </c>
      <c r="N9">
        <v>20000</v>
      </c>
      <c r="O9">
        <v>0</v>
      </c>
      <c r="P9">
        <f>IFERROR(OpeningInventories[[#This Row],[FE_INSITU_WTAVG]],"")</f>
        <v>58.835193303438544</v>
      </c>
      <c r="Q9">
        <f>IFERROR(OpeningInventories[[#This Row],[SIO2_INSITU_WTAVG]],"")</f>
        <v>5.2238697028570096</v>
      </c>
      <c r="R9">
        <f>IFERROR(OpeningInventories[[#This Row],[AL2O3_INSITU_WTAVG]],"")</f>
        <v>2.5811668878460101</v>
      </c>
      <c r="S9">
        <f>IFERROR(OpeningInventories[[#This Row],[P_INSITU_WTAVG]],"")</f>
        <v>0.10888867027785624</v>
      </c>
      <c r="T9">
        <f>IFERROR(OpeningInventories[[#This Row],[MN_INSITU_WTAVG]],"")</f>
        <v>0.29236007099364764</v>
      </c>
    </row>
    <row r="10" spans="1:20" x14ac:dyDescent="0.3">
      <c r="A10" t="str">
        <f>IFERROR(OpeningInventories[[#This Row],[STOCKPILENAME]],"")</f>
        <v>ELW01_RP01_0211</v>
      </c>
      <c r="B10">
        <f>IFERROR(OpeningInventories[[#This Row],[BALANCEWMT]],"")</f>
        <v>69487.741750000001</v>
      </c>
      <c r="C10" t="str">
        <f>IFERROR(OpeningInventories[[#This Row],[TRANSACTIONDIRECTION]],"")</f>
        <v>Stack</v>
      </c>
      <c r="D10">
        <v>20000</v>
      </c>
      <c r="E10">
        <v>20000</v>
      </c>
      <c r="F10">
        <v>20000</v>
      </c>
      <c r="G10">
        <v>0</v>
      </c>
      <c r="H10">
        <v>0</v>
      </c>
      <c r="I10">
        <v>0</v>
      </c>
      <c r="J10">
        <v>50</v>
      </c>
      <c r="K10">
        <v>50</v>
      </c>
      <c r="L10">
        <v>50</v>
      </c>
      <c r="M10" t="s">
        <v>9</v>
      </c>
      <c r="N10">
        <v>20000</v>
      </c>
      <c r="O10">
        <v>0</v>
      </c>
      <c r="P10">
        <f>IFERROR(OpeningInventories[[#This Row],[FE_INSITU_WTAVG]],"")</f>
        <v>59.900837483796622</v>
      </c>
      <c r="Q10">
        <f>IFERROR(OpeningInventories[[#This Row],[SIO2_INSITU_WTAVG]],"")</f>
        <v>4.7736284470027837</v>
      </c>
      <c r="R10">
        <f>IFERROR(OpeningInventories[[#This Row],[AL2O3_INSITU_WTAVG]],"")</f>
        <v>2.8109667576453554</v>
      </c>
      <c r="S10">
        <f>IFERROR(OpeningInventories[[#This Row],[P_INSITU_WTAVG]],"")</f>
        <v>0.1301601250553964</v>
      </c>
      <c r="T10">
        <f>IFERROR(OpeningInventories[[#This Row],[MN_INSITU_WTAVG]],"")</f>
        <v>0.10530243864218863</v>
      </c>
    </row>
    <row r="11" spans="1:20" x14ac:dyDescent="0.3">
      <c r="A11" t="str">
        <f>IFERROR(OpeningInventories[[#This Row],[STOCKPILENAME]],"")</f>
        <v>ELW01_RP01_0212</v>
      </c>
      <c r="B11">
        <f>IFERROR(OpeningInventories[[#This Row],[BALANCEWMT]],"")</f>
        <v>261715.71175000002</v>
      </c>
      <c r="C11" t="str">
        <f>IFERROR(OpeningInventories[[#This Row],[TRANSACTIONDIRECTION]],"")</f>
        <v>Reclaim</v>
      </c>
      <c r="D11">
        <v>20000</v>
      </c>
      <c r="E11">
        <v>20000</v>
      </c>
      <c r="F11">
        <v>20000</v>
      </c>
      <c r="G11">
        <v>0</v>
      </c>
      <c r="H11">
        <v>0</v>
      </c>
      <c r="I11">
        <v>0</v>
      </c>
      <c r="J11">
        <v>50</v>
      </c>
      <c r="K11">
        <v>50</v>
      </c>
      <c r="L11">
        <v>50</v>
      </c>
      <c r="M11" t="s">
        <v>9</v>
      </c>
      <c r="N11">
        <v>20000</v>
      </c>
      <c r="O11">
        <v>0</v>
      </c>
      <c r="P11">
        <f>IFERROR(OpeningInventories[[#This Row],[FE_INSITU_WTAVG]],"")</f>
        <v>60.521783737297675</v>
      </c>
      <c r="Q11">
        <f>IFERROR(OpeningInventories[[#This Row],[SIO2_INSITU_WTAVG]],"")</f>
        <v>4.0594578988753174</v>
      </c>
      <c r="R11">
        <f>IFERROR(OpeningInventories[[#This Row],[AL2O3_INSITU_WTAVG]],"")</f>
        <v>3.0333114238017291</v>
      </c>
      <c r="S11">
        <f>IFERROR(OpeningInventories[[#This Row],[P_INSITU_WTAVG]],"")</f>
        <v>0.19122541503273865</v>
      </c>
      <c r="T11">
        <f>IFERROR(OpeningInventories[[#This Row],[MN_INSITU_WTAVG]],"")</f>
        <v>4.9668260774039213E-2</v>
      </c>
    </row>
    <row r="12" spans="1:20" x14ac:dyDescent="0.3">
      <c r="A12" t="str">
        <f>IFERROR(OpeningInventories[[#This Row],[STOCKPILENAME]],"")</f>
        <v>ELW01_RP01_0221</v>
      </c>
      <c r="B12">
        <f>IFERROR(OpeningInventories[[#This Row],[BALANCEWMT]],"")</f>
        <v>74087.3</v>
      </c>
      <c r="C12" t="str">
        <f>IFERROR(OpeningInventories[[#This Row],[TRANSACTIONDIRECTION]],"")</f>
        <v>Stack</v>
      </c>
      <c r="D12">
        <v>20000</v>
      </c>
      <c r="E12">
        <v>20000</v>
      </c>
      <c r="F12">
        <v>20000</v>
      </c>
      <c r="G12">
        <v>0</v>
      </c>
      <c r="H12">
        <v>0</v>
      </c>
      <c r="I12">
        <v>0</v>
      </c>
      <c r="J12">
        <v>50</v>
      </c>
      <c r="K12">
        <v>50</v>
      </c>
      <c r="L12">
        <v>50</v>
      </c>
      <c r="M12" t="s">
        <v>9</v>
      </c>
      <c r="N12">
        <v>20000</v>
      </c>
      <c r="O12">
        <v>0</v>
      </c>
      <c r="P12">
        <f>IFERROR(OpeningInventories[[#This Row],[FE_INSITU_WTAVG]],"")</f>
        <v>56.169985827502849</v>
      </c>
      <c r="Q12">
        <f>IFERROR(OpeningInventories[[#This Row],[SIO2_INSITU_WTAVG]],"")</f>
        <v>7.5200162126421111</v>
      </c>
      <c r="R12">
        <f>IFERROR(OpeningInventories[[#This Row],[AL2O3_INSITU_WTAVG]],"")</f>
        <v>3.7705080945634344</v>
      </c>
      <c r="S12">
        <f>IFERROR(OpeningInventories[[#This Row],[P_INSITU_WTAVG]],"")</f>
        <v>5.4691395319978957E-2</v>
      </c>
      <c r="T12">
        <f>IFERROR(OpeningInventories[[#This Row],[MN_INSITU_WTAVG]],"")</f>
        <v>3.6513942587076312E-2</v>
      </c>
    </row>
    <row r="13" spans="1:20" x14ac:dyDescent="0.3">
      <c r="A13" t="str">
        <f>IFERROR(OpeningInventories[[#This Row],[STOCKPILENAME]],"")</f>
        <v>ELW01_RP01_0222</v>
      </c>
      <c r="B13">
        <f>IFERROR(OpeningInventories[[#This Row],[BALANCEWMT]],"")</f>
        <v>21913.954719999994</v>
      </c>
      <c r="C13" t="str">
        <f>IFERROR(OpeningInventories[[#This Row],[TRANSACTIONDIRECTION]],"")</f>
        <v>Stack</v>
      </c>
      <c r="D13">
        <v>20000</v>
      </c>
      <c r="E13">
        <v>20000</v>
      </c>
      <c r="F13">
        <v>20000</v>
      </c>
      <c r="G13">
        <v>0</v>
      </c>
      <c r="H13">
        <v>0</v>
      </c>
      <c r="I13">
        <v>0</v>
      </c>
      <c r="J13">
        <v>50</v>
      </c>
      <c r="K13">
        <v>50</v>
      </c>
      <c r="L13">
        <v>50</v>
      </c>
      <c r="M13" t="s">
        <v>9</v>
      </c>
      <c r="N13">
        <v>20000</v>
      </c>
      <c r="O13">
        <v>0</v>
      </c>
      <c r="P13">
        <f>IFERROR(OpeningInventories[[#This Row],[FE_INSITU_WTAVG]],"")</f>
        <v>55.976341904030001</v>
      </c>
      <c r="Q13">
        <f>IFERROR(OpeningInventories[[#This Row],[SIO2_INSITU_WTAVG]],"")</f>
        <v>7.9751260086812197</v>
      </c>
      <c r="R13">
        <f>IFERROR(OpeningInventories[[#This Row],[AL2O3_INSITU_WTAVG]],"")</f>
        <v>3.6809906976424656</v>
      </c>
      <c r="S13">
        <f>IFERROR(OpeningInventories[[#This Row],[P_INSITU_WTAVG]],"")</f>
        <v>5.4355111549029819E-2</v>
      </c>
      <c r="T13">
        <f>IFERROR(OpeningInventories[[#This Row],[MN_INSITU_WTAVG]],"")</f>
        <v>3.6805807483284471E-2</v>
      </c>
    </row>
    <row r="14" spans="1:20" x14ac:dyDescent="0.3">
      <c r="A14" t="str">
        <f>IFERROR(OpeningInventories[[#This Row],[STOCKPILENAME]],"")</f>
        <v>ELW01_RP01_0807</v>
      </c>
      <c r="B14">
        <f>IFERROR(OpeningInventories[[#This Row],[BALANCEWMT]],"")</f>
        <v>18297.951000000001</v>
      </c>
      <c r="C14" t="str">
        <f>IFERROR(OpeningInventories[[#This Row],[TRANSACTIONDIRECTION]],"")</f>
        <v>Reclaim</v>
      </c>
      <c r="D14">
        <v>20000</v>
      </c>
      <c r="E14">
        <v>20000</v>
      </c>
      <c r="F14">
        <v>20000</v>
      </c>
      <c r="G14">
        <v>0</v>
      </c>
      <c r="H14">
        <v>0</v>
      </c>
      <c r="I14">
        <v>0</v>
      </c>
      <c r="J14">
        <v>50</v>
      </c>
      <c r="K14">
        <v>50</v>
      </c>
      <c r="L14">
        <v>50</v>
      </c>
      <c r="M14" t="s">
        <v>9</v>
      </c>
      <c r="N14">
        <v>20000</v>
      </c>
      <c r="O14">
        <v>0</v>
      </c>
      <c r="P14">
        <f>IFERROR(OpeningInventories[[#This Row],[FE_INSITU_WTAVG]],"")</f>
        <v>58.946115263235313</v>
      </c>
      <c r="Q14">
        <f>IFERROR(OpeningInventories[[#This Row],[SIO2_INSITU_WTAVG]],"")</f>
        <v>3.7596072388811352</v>
      </c>
      <c r="R14">
        <f>IFERROR(OpeningInventories[[#This Row],[AL2O3_INSITU_WTAVG]],"")</f>
        <v>2.8824081273757076</v>
      </c>
      <c r="S14">
        <f>IFERROR(OpeningInventories[[#This Row],[P_INSITU_WTAVG]],"")</f>
        <v>0.11286814368031474</v>
      </c>
      <c r="T14">
        <f>IFERROR(OpeningInventories[[#This Row],[MN_INSITU_WTAVG]],"")</f>
        <v>3.9733036781893355E-2</v>
      </c>
    </row>
    <row r="15" spans="1:20" x14ac:dyDescent="0.3">
      <c r="A15" t="str">
        <f>IFERROR(OpeningInventories[[#This Row],[STOCKPILENAME]],"")</f>
        <v>ELW01_RP01_0808</v>
      </c>
      <c r="B15">
        <f>IFERROR(OpeningInventories[[#This Row],[BALANCEWMT]],"")</f>
        <v>31128</v>
      </c>
      <c r="C15" t="str">
        <f>IFERROR(OpeningInventories[[#This Row],[TRANSACTIONDIRECTION]],"")</f>
        <v>Stack</v>
      </c>
      <c r="D15">
        <v>20000</v>
      </c>
      <c r="E15">
        <v>20000</v>
      </c>
      <c r="F15">
        <v>20000</v>
      </c>
      <c r="G15">
        <v>0</v>
      </c>
      <c r="H15">
        <v>0</v>
      </c>
      <c r="I15">
        <v>0</v>
      </c>
      <c r="J15">
        <v>50</v>
      </c>
      <c r="K15">
        <v>50</v>
      </c>
      <c r="L15">
        <v>50</v>
      </c>
      <c r="M15" t="s">
        <v>9</v>
      </c>
      <c r="N15">
        <v>20000</v>
      </c>
      <c r="O15">
        <v>0</v>
      </c>
      <c r="P15">
        <f>IFERROR(OpeningInventories[[#This Row],[FE_INSITU_WTAVG]],"")</f>
        <v>57.497500518308165</v>
      </c>
      <c r="Q15">
        <f>IFERROR(OpeningInventories[[#This Row],[SIO2_INSITU_WTAVG]],"")</f>
        <v>4.8634140993888293</v>
      </c>
      <c r="R15">
        <f>IFERROR(OpeningInventories[[#This Row],[AL2O3_INSITU_WTAVG]],"")</f>
        <v>2.5708872714115731</v>
      </c>
      <c r="S15">
        <f>IFERROR(OpeningInventories[[#This Row],[P_INSITU_WTAVG]],"")</f>
        <v>0.10896456387075575</v>
      </c>
      <c r="T15">
        <f>IFERROR(OpeningInventories[[#This Row],[MN_INSITU_WTAVG]],"")</f>
        <v>4.8515879878249145E-2</v>
      </c>
    </row>
    <row r="16" spans="1:20" x14ac:dyDescent="0.3">
      <c r="A16" t="str">
        <f>IFERROR(OpeningInventories[[#This Row],[STOCKPILENAME]],"")</f>
        <v>FLY01_RP01_0101</v>
      </c>
      <c r="B16">
        <f>IFERROR(OpeningInventories[[#This Row],[BALANCEWMT]],"")</f>
        <v>180604.70550000004</v>
      </c>
      <c r="C16" t="str">
        <f>IFERROR(OpeningInventories[[#This Row],[TRANSACTIONDIRECTION]],"")</f>
        <v>Reclaim</v>
      </c>
      <c r="D16">
        <v>20000</v>
      </c>
      <c r="E16">
        <v>20000</v>
      </c>
      <c r="F16">
        <v>20000</v>
      </c>
      <c r="G16">
        <v>0</v>
      </c>
      <c r="H16">
        <v>0</v>
      </c>
      <c r="I16">
        <v>0</v>
      </c>
      <c r="J16">
        <v>50</v>
      </c>
      <c r="K16">
        <v>50</v>
      </c>
      <c r="L16">
        <v>50</v>
      </c>
      <c r="M16" t="s">
        <v>9</v>
      </c>
      <c r="N16">
        <v>20000</v>
      </c>
      <c r="O16">
        <v>0</v>
      </c>
      <c r="P16">
        <f>IFERROR(OpeningInventories[[#This Row],[FE_INSITU_WTAVG]],"")</f>
        <v>56.790643784221473</v>
      </c>
      <c r="Q16">
        <f>IFERROR(OpeningInventories[[#This Row],[SIO2_INSITU_WTAVG]],"")</f>
        <v>7.6499307363948565</v>
      </c>
      <c r="R16">
        <f>IFERROR(OpeningInventories[[#This Row],[AL2O3_INSITU_WTAVG]],"")</f>
        <v>2.8929851113897764</v>
      </c>
      <c r="S16">
        <f>IFERROR(OpeningInventories[[#This Row],[P_INSITU_WTAVG]],"")</f>
        <v>5.9431920143649383E-2</v>
      </c>
      <c r="T16">
        <f>IFERROR(OpeningInventories[[#This Row],[MN_INSITU_WTAVG]],"")</f>
        <v>3.1507258565979371E-2</v>
      </c>
    </row>
    <row r="17" spans="1:20" x14ac:dyDescent="0.3">
      <c r="A17" t="str">
        <f>IFERROR(OpeningInventories[[#This Row],[STOCKPILENAME]],"")</f>
        <v>FLY01_RP01_0102</v>
      </c>
      <c r="B17">
        <f>IFERROR(OpeningInventories[[#This Row],[BALANCEWMT]],"")</f>
        <v>1132.1604400000015</v>
      </c>
      <c r="C17" t="str">
        <f>IFERROR(OpeningInventories[[#This Row],[TRANSACTIONDIRECTION]],"")</f>
        <v>Reclaim</v>
      </c>
      <c r="D17">
        <v>20000</v>
      </c>
      <c r="E17">
        <v>20000</v>
      </c>
      <c r="F17">
        <v>20000</v>
      </c>
      <c r="G17">
        <v>0</v>
      </c>
      <c r="H17">
        <v>0</v>
      </c>
      <c r="I17">
        <v>0</v>
      </c>
      <c r="J17">
        <v>50</v>
      </c>
      <c r="K17">
        <v>50</v>
      </c>
      <c r="L17">
        <v>50</v>
      </c>
      <c r="M17" t="s">
        <v>9</v>
      </c>
      <c r="N17">
        <v>20000</v>
      </c>
      <c r="O17">
        <v>0</v>
      </c>
      <c r="P17">
        <f>IFERROR(OpeningInventories[[#This Row],[FE_INSITU_WTAVG]],"")</f>
        <v>56.0010132635731</v>
      </c>
      <c r="Q17">
        <f>IFERROR(OpeningInventories[[#This Row],[SIO2_INSITU_WTAVG]],"")</f>
        <v>8.3150531451328842</v>
      </c>
      <c r="R17">
        <f>IFERROR(OpeningInventories[[#This Row],[AL2O3_INSITU_WTAVG]],"")</f>
        <v>3.5162480639359019</v>
      </c>
      <c r="S17">
        <f>IFERROR(OpeningInventories[[#This Row],[P_INSITU_WTAVG]],"")</f>
        <v>5.4116291231635152E-2</v>
      </c>
      <c r="T17">
        <f>IFERROR(OpeningInventories[[#This Row],[MN_INSITU_WTAVG]],"")</f>
        <v>3.8655236755190586E-2</v>
      </c>
    </row>
    <row r="18" spans="1:20" x14ac:dyDescent="0.3">
      <c r="A18" t="str">
        <f>IFERROR(OpeningInventories[[#This Row],[STOCKPILENAME]],"")</f>
        <v>FLY01_RP01_0104</v>
      </c>
      <c r="B18">
        <f>IFERROR(OpeningInventories[[#This Row],[BALANCEWMT]],"")</f>
        <v>2603.4324399999987</v>
      </c>
      <c r="C18" t="str">
        <f>IFERROR(OpeningInventories[[#This Row],[TRANSACTIONDIRECTION]],"")</f>
        <v>Reclaim</v>
      </c>
      <c r="D18">
        <v>20000</v>
      </c>
      <c r="E18">
        <v>20000</v>
      </c>
      <c r="F18">
        <v>20000</v>
      </c>
      <c r="G18">
        <v>0</v>
      </c>
      <c r="H18">
        <v>0</v>
      </c>
      <c r="I18">
        <v>0</v>
      </c>
      <c r="J18">
        <v>50</v>
      </c>
      <c r="K18">
        <v>50</v>
      </c>
      <c r="L18">
        <v>50</v>
      </c>
      <c r="M18" t="s">
        <v>9</v>
      </c>
      <c r="N18">
        <v>20000</v>
      </c>
      <c r="O18">
        <v>0</v>
      </c>
      <c r="P18">
        <f>IFERROR(OpeningInventories[[#This Row],[FE_INSITU_WTAVG]],"")</f>
        <v>57.340161716672029</v>
      </c>
      <c r="Q18">
        <f>IFERROR(OpeningInventories[[#This Row],[SIO2_INSITU_WTAVG]],"")</f>
        <v>5.338948313848082</v>
      </c>
      <c r="R18">
        <f>IFERROR(OpeningInventories[[#This Row],[AL2O3_INSITU_WTAVG]],"")</f>
        <v>4.0099959141496191</v>
      </c>
      <c r="S18">
        <f>IFERROR(OpeningInventories[[#This Row],[P_INSITU_WTAVG]],"")</f>
        <v>5.8121660657909906E-2</v>
      </c>
      <c r="T18">
        <f>IFERROR(OpeningInventories[[#This Row],[MN_INSITU_WTAVG]],"")</f>
        <v>3.6958493669440762E-2</v>
      </c>
    </row>
    <row r="19" spans="1:20" x14ac:dyDescent="0.3">
      <c r="A19" t="str">
        <f>IFERROR(OpeningInventories[[#This Row],[STOCKPILENAME]],"")</f>
        <v>FLY01_RP01_0105</v>
      </c>
      <c r="B19">
        <f>IFERROR(OpeningInventories[[#This Row],[BALANCEWMT]],"")</f>
        <v>309934.82482000004</v>
      </c>
      <c r="C19" t="str">
        <f>IFERROR(OpeningInventories[[#This Row],[TRANSACTIONDIRECTION]],"")</f>
        <v>Stack</v>
      </c>
      <c r="D19">
        <v>20000</v>
      </c>
      <c r="E19">
        <v>20000</v>
      </c>
      <c r="F19">
        <v>20000</v>
      </c>
      <c r="G19">
        <v>0</v>
      </c>
      <c r="H19">
        <v>0</v>
      </c>
      <c r="I19">
        <v>0</v>
      </c>
      <c r="J19">
        <v>50</v>
      </c>
      <c r="K19">
        <v>50</v>
      </c>
      <c r="L19">
        <v>50</v>
      </c>
      <c r="M19" t="s">
        <v>9</v>
      </c>
      <c r="N19">
        <v>20000</v>
      </c>
      <c r="O19">
        <v>0</v>
      </c>
      <c r="P19">
        <f>IFERROR(OpeningInventories[[#This Row],[FE_INSITU_WTAVG]],"")</f>
        <v>56.539803077226438</v>
      </c>
      <c r="Q19">
        <f>IFERROR(OpeningInventories[[#This Row],[SIO2_INSITU_WTAVG]],"")</f>
        <v>6.0468099102851145</v>
      </c>
      <c r="R19">
        <f>IFERROR(OpeningInventories[[#This Row],[AL2O3_INSITU_WTAVG]],"")</f>
        <v>4.1123416815040059</v>
      </c>
      <c r="S19">
        <f>IFERROR(OpeningInventories[[#This Row],[P_INSITU_WTAVG]],"")</f>
        <v>5.7442545652303049E-2</v>
      </c>
      <c r="T19">
        <f>IFERROR(OpeningInventories[[#This Row],[MN_INSITU_WTAVG]],"")</f>
        <v>3.4755733643885491E-2</v>
      </c>
    </row>
    <row r="20" spans="1:20" x14ac:dyDescent="0.3">
      <c r="A20" t="str">
        <f>IFERROR(OpeningInventories[[#This Row],[STOCKPILENAME]],"")</f>
        <v>FLY01_RP01_0801</v>
      </c>
      <c r="B20">
        <f>IFERROR(OpeningInventories[[#This Row],[BALANCEWMT]],"")</f>
        <v>2826.5838400000002</v>
      </c>
      <c r="C20" t="str">
        <f>IFERROR(OpeningInventories[[#This Row],[TRANSACTIONDIRECTION]],"")</f>
        <v>Stack</v>
      </c>
      <c r="D20">
        <v>20000</v>
      </c>
      <c r="E20">
        <v>20000</v>
      </c>
      <c r="F20">
        <v>20000</v>
      </c>
      <c r="G20">
        <v>0</v>
      </c>
      <c r="H20">
        <v>0</v>
      </c>
      <c r="I20">
        <v>0</v>
      </c>
      <c r="J20">
        <v>50</v>
      </c>
      <c r="K20">
        <v>50</v>
      </c>
      <c r="L20">
        <v>50</v>
      </c>
      <c r="M20" t="s">
        <v>9</v>
      </c>
      <c r="N20">
        <v>20000</v>
      </c>
      <c r="O20">
        <v>0</v>
      </c>
      <c r="P20">
        <f>IFERROR(OpeningInventories[[#This Row],[FE_INSITU_WTAVG]],"")</f>
        <v>55.568620763493833</v>
      </c>
      <c r="Q20">
        <f>IFERROR(OpeningInventories[[#This Row],[SIO2_INSITU_WTAVG]],"")</f>
        <v>4.7159784404408507</v>
      </c>
      <c r="R20">
        <f>IFERROR(OpeningInventories[[#This Row],[AL2O3_INSITU_WTAVG]],"")</f>
        <v>5.5800659875244563</v>
      </c>
      <c r="S20">
        <f>IFERROR(OpeningInventories[[#This Row],[P_INSITU_WTAVG]],"")</f>
        <v>5.0663846242362268E-2</v>
      </c>
      <c r="T20">
        <f>IFERROR(OpeningInventories[[#This Row],[MN_INSITU_WTAVG]],"")</f>
        <v>2.1746060322017615E-2</v>
      </c>
    </row>
    <row r="21" spans="1:20" x14ac:dyDescent="0.3">
      <c r="A21" t="str">
        <f>IFERROR(OpeningInventories[[#This Row],[STOCKPILENAME]],"")</f>
        <v>FLY01_RP01_0802</v>
      </c>
      <c r="B21">
        <f>IFERROR(OpeningInventories[[#This Row],[BALANCEWMT]],"")</f>
        <v>448.04426000000035</v>
      </c>
      <c r="C21" t="str">
        <f>IFERROR(OpeningInventories[[#This Row],[TRANSACTIONDIRECTION]],"")</f>
        <v>Stack</v>
      </c>
      <c r="D21">
        <v>20000</v>
      </c>
      <c r="E21">
        <v>20000</v>
      </c>
      <c r="F21">
        <v>20000</v>
      </c>
      <c r="G21">
        <v>0</v>
      </c>
      <c r="H21">
        <v>0</v>
      </c>
      <c r="I21">
        <v>0</v>
      </c>
      <c r="J21">
        <v>50</v>
      </c>
      <c r="K21">
        <v>50</v>
      </c>
      <c r="L21">
        <v>50</v>
      </c>
      <c r="M21" t="s">
        <v>9</v>
      </c>
      <c r="N21">
        <v>20000</v>
      </c>
      <c r="O21">
        <v>0</v>
      </c>
      <c r="P21">
        <f>IFERROR(OpeningInventories[[#This Row],[FE_INSITU_WTAVG]],"")</f>
        <v>55.147936999999999</v>
      </c>
      <c r="Q21">
        <f>IFERROR(OpeningInventories[[#This Row],[SIO2_INSITU_WTAVG]],"")</f>
        <v>7.2413250000000007</v>
      </c>
      <c r="R21">
        <f>IFERROR(OpeningInventories[[#This Row],[AL2O3_INSITU_WTAVG]],"")</f>
        <v>4.6840489999999999</v>
      </c>
      <c r="S21">
        <f>IFERROR(OpeningInventories[[#This Row],[P_INSITU_WTAVG]],"")</f>
        <v>5.6008999999999996E-2</v>
      </c>
      <c r="T21">
        <f>IFERROR(OpeningInventories[[#This Row],[MN_INSITU_WTAVG]],"")</f>
        <v>1.9518000000000001E-2</v>
      </c>
    </row>
    <row r="22" spans="1:20" x14ac:dyDescent="0.3">
      <c r="A22" t="str">
        <f>IFERROR(OpeningInventories[[#This Row],[STOCKPILENAME]],"")</f>
        <v>WED01_RP01_0703</v>
      </c>
      <c r="B22">
        <f>IFERROR(OpeningInventories[[#This Row],[BALANCEWMT]],"")</f>
        <v>1071.5</v>
      </c>
      <c r="C22" t="str">
        <f>IFERROR(OpeningInventories[[#This Row],[TRANSACTIONDIRECTION]],"")</f>
        <v>Stack</v>
      </c>
      <c r="D22">
        <v>20000</v>
      </c>
      <c r="E22">
        <v>20000</v>
      </c>
      <c r="F22">
        <v>20000</v>
      </c>
      <c r="G22">
        <v>0</v>
      </c>
      <c r="H22">
        <v>0</v>
      </c>
      <c r="I22">
        <v>0</v>
      </c>
      <c r="J22">
        <v>50</v>
      </c>
      <c r="K22">
        <v>50</v>
      </c>
      <c r="L22">
        <v>50</v>
      </c>
      <c r="M22" t="s">
        <v>9</v>
      </c>
      <c r="N22">
        <v>20000</v>
      </c>
      <c r="O22">
        <v>0</v>
      </c>
      <c r="P22">
        <f>IFERROR(OpeningInventories[[#This Row],[FE_INSITU_WTAVG]],"")</f>
        <v>62.477748563523477</v>
      </c>
      <c r="Q22">
        <f>IFERROR(OpeningInventories[[#This Row],[SIO2_INSITU_WTAVG]],"")</f>
        <v>3.867786611936626</v>
      </c>
      <c r="R22">
        <f>IFERROR(OpeningInventories[[#This Row],[AL2O3_INSITU_WTAVG]],"")</f>
        <v>2.4585698357454278</v>
      </c>
      <c r="S22">
        <f>IFERROR(OpeningInventories[[#This Row],[P_INSITU_WTAVG]],"")</f>
        <v>0.11278326480440216</v>
      </c>
      <c r="T22">
        <f>IFERROR(OpeningInventories[[#This Row],[MN_INSITU_WTAVG]],"")</f>
        <v>5.6530858704615515E-2</v>
      </c>
    </row>
    <row r="23" spans="1:20" x14ac:dyDescent="0.3">
      <c r="A23" t="str">
        <f>IFERROR(OpeningInventories[[#This Row],[STOCKPILENAME]],"")</f>
        <v>WED01_RP01_0803</v>
      </c>
      <c r="B23">
        <f>IFERROR(OpeningInventories[[#This Row],[BALANCEWMT]],"")</f>
        <v>2120.530999999999</v>
      </c>
      <c r="C23" t="str">
        <f>IFERROR(OpeningInventories[[#This Row],[TRANSACTIONDIRECTION]],"")</f>
        <v>Reclaim</v>
      </c>
      <c r="D23">
        <v>20000</v>
      </c>
      <c r="E23">
        <v>20000</v>
      </c>
      <c r="F23">
        <v>20000</v>
      </c>
      <c r="G23">
        <v>0</v>
      </c>
      <c r="H23">
        <v>0</v>
      </c>
      <c r="I23">
        <v>0</v>
      </c>
      <c r="J23">
        <v>50</v>
      </c>
      <c r="K23">
        <v>50</v>
      </c>
      <c r="L23">
        <v>50</v>
      </c>
      <c r="M23" t="s">
        <v>9</v>
      </c>
      <c r="N23">
        <v>20000</v>
      </c>
      <c r="O23">
        <v>0</v>
      </c>
      <c r="P23">
        <f>IFERROR(OpeningInventories[[#This Row],[FE_INSITU_WTAVG]],"")</f>
        <v>60.966497759012626</v>
      </c>
      <c r="Q23">
        <f>IFERROR(OpeningInventories[[#This Row],[SIO2_INSITU_WTAVG]],"")</f>
        <v>2.5574093383426475</v>
      </c>
      <c r="R23">
        <f>IFERROR(OpeningInventories[[#This Row],[AL2O3_INSITU_WTAVG]],"")</f>
        <v>2.1826239248775434</v>
      </c>
      <c r="S23">
        <f>IFERROR(OpeningInventories[[#This Row],[P_INSITU_WTAVG]],"")</f>
        <v>0.11933252273221202</v>
      </c>
      <c r="T23">
        <f>IFERROR(OpeningInventories[[#This Row],[MN_INSITU_WTAVG]],"")</f>
        <v>4.1797061240234495E-2</v>
      </c>
    </row>
    <row r="24" spans="1:20" x14ac:dyDescent="0.3">
      <c r="A24" t="str">
        <f>IFERROR(OpeningInventories[[#This Row],[STOCKPILENAME]],"")</f>
        <v/>
      </c>
      <c r="B24" t="str">
        <f>IFERROR(OpeningInventories[[#This Row],[BALANCEWMT]],"")</f>
        <v/>
      </c>
      <c r="C24" t="str">
        <f>IFERROR(OpeningInventories[[#This Row],[TRANSACTIONDIRECTION]],"")</f>
        <v/>
      </c>
      <c r="P24" t="str">
        <f>IFERROR(OpeningInventories[[#This Row],[FE_INSITU_WTAVG]],"")</f>
        <v/>
      </c>
      <c r="Q24" t="str">
        <f>IFERROR(OpeningInventories[[#This Row],[SIO2_INSITU_WTAVG]],"")</f>
        <v/>
      </c>
      <c r="R24" t="str">
        <f>IFERROR(OpeningInventories[[#This Row],[AL2O3_INSITU_WTAVG]],"")</f>
        <v/>
      </c>
      <c r="S24" t="str">
        <f>IFERROR(OpeningInventories[[#This Row],[P_INSITU_WTAVG]],"")</f>
        <v/>
      </c>
      <c r="T24" t="str">
        <f>IFERROR(OpeningInventories[[#This Row],[MN_INSITU_WTAVG]],"")</f>
        <v/>
      </c>
    </row>
    <row r="25" spans="1:20" x14ac:dyDescent="0.3">
      <c r="A25" t="str">
        <f>IFERROR(OpeningInventories[[#This Row],[STOCKPILENAME]],"")</f>
        <v/>
      </c>
      <c r="B25" t="str">
        <f>IFERROR(OpeningInventories[[#This Row],[BALANCEWMT]],"")</f>
        <v/>
      </c>
      <c r="C25" t="str">
        <f>IFERROR(OpeningInventories[[#This Row],[TRANSACTIONDIRECTION]],"")</f>
        <v/>
      </c>
      <c r="P25" t="str">
        <f>IFERROR(OpeningInventories[[#This Row],[FE_INSITU_WTAVG]],"")</f>
        <v/>
      </c>
      <c r="Q25" t="str">
        <f>IFERROR(OpeningInventories[[#This Row],[SIO2_INSITU_WTAVG]],"")</f>
        <v/>
      </c>
      <c r="R25" t="str">
        <f>IFERROR(OpeningInventories[[#This Row],[AL2O3_INSITU_WTAVG]],"")</f>
        <v/>
      </c>
      <c r="S25" t="str">
        <f>IFERROR(OpeningInventories[[#This Row],[P_INSITU_WTAVG]],"")</f>
        <v/>
      </c>
      <c r="T25" t="str">
        <f>IFERROR(OpeningInventories[[#This Row],[MN_INSITU_WTAVG]],"")</f>
        <v/>
      </c>
    </row>
    <row r="26" spans="1:20" x14ac:dyDescent="0.3">
      <c r="A26" t="str">
        <f>IFERROR(OpeningInventories[[#This Row],[STOCKPILENAME]],"")</f>
        <v/>
      </c>
      <c r="B26" t="str">
        <f>IFERROR(OpeningInventories[[#This Row],[BALANCEWMT]],"")</f>
        <v/>
      </c>
      <c r="C26" t="str">
        <f>IFERROR(OpeningInventories[[#This Row],[TRANSACTIONDIRECTION]],"")</f>
        <v/>
      </c>
      <c r="P26" t="str">
        <f>IFERROR(OpeningInventories[[#This Row],[FE_INSITU_WTAVG]],"")</f>
        <v/>
      </c>
      <c r="Q26" t="str">
        <f>IFERROR(OpeningInventories[[#This Row],[SIO2_INSITU_WTAVG]],"")</f>
        <v/>
      </c>
      <c r="R26" t="str">
        <f>IFERROR(OpeningInventories[[#This Row],[AL2O3_INSITU_WTAVG]],"")</f>
        <v/>
      </c>
      <c r="S26" t="str">
        <f>IFERROR(OpeningInventories[[#This Row],[P_INSITU_WTAVG]],"")</f>
        <v/>
      </c>
      <c r="T26" t="str">
        <f>IFERROR(OpeningInventories[[#This Row],[MN_INSITU_WTAVG]],"")</f>
        <v/>
      </c>
    </row>
    <row r="27" spans="1:20" x14ac:dyDescent="0.3">
      <c r="A27" t="str">
        <f>IFERROR(OpeningInventories[[#This Row],[STOCKPILENAME]],"")</f>
        <v/>
      </c>
      <c r="B27" t="str">
        <f>IFERROR(OpeningInventories[[#This Row],[BALANCEWMT]],"")</f>
        <v/>
      </c>
      <c r="C27" t="str">
        <f>IFERROR(OpeningInventories[[#This Row],[TRANSACTIONDIRECTION]],"")</f>
        <v/>
      </c>
      <c r="P27" t="str">
        <f>IFERROR(OpeningInventories[[#This Row],[FE_INSITU_WTAVG]],"")</f>
        <v/>
      </c>
      <c r="Q27" t="str">
        <f>IFERROR(OpeningInventories[[#This Row],[SIO2_INSITU_WTAVG]],"")</f>
        <v/>
      </c>
      <c r="R27" t="str">
        <f>IFERROR(OpeningInventories[[#This Row],[AL2O3_INSITU_WTAVG]],"")</f>
        <v/>
      </c>
      <c r="S27" t="str">
        <f>IFERROR(OpeningInventories[[#This Row],[P_INSITU_WTAVG]],"")</f>
        <v/>
      </c>
      <c r="T27" t="str">
        <f>IFERROR(OpeningInventories[[#This Row],[MN_INSITU_WTAVG]],"")</f>
        <v/>
      </c>
    </row>
    <row r="28" spans="1:20" x14ac:dyDescent="0.3">
      <c r="A28" t="str">
        <f>IFERROR(OpeningInventories[[#This Row],[STOCKPILENAME]],"")</f>
        <v/>
      </c>
      <c r="B28" t="str">
        <f>IFERROR(OpeningInventories[[#This Row],[BALANCEWMT]],"")</f>
        <v/>
      </c>
      <c r="C28" t="str">
        <f>IFERROR(OpeningInventories[[#This Row],[TRANSACTIONDIRECTION]],"")</f>
        <v/>
      </c>
      <c r="P28" t="str">
        <f>IFERROR(OpeningInventories[[#This Row],[FE_INSITU_WTAVG]],"")</f>
        <v/>
      </c>
      <c r="Q28" t="str">
        <f>IFERROR(OpeningInventories[[#This Row],[SIO2_INSITU_WTAVG]],"")</f>
        <v/>
      </c>
      <c r="R28" t="str">
        <f>IFERROR(OpeningInventories[[#This Row],[AL2O3_INSITU_WTAVG]],"")</f>
        <v/>
      </c>
      <c r="S28" t="str">
        <f>IFERROR(OpeningInventories[[#This Row],[P_INSITU_WTAVG]],"")</f>
        <v/>
      </c>
      <c r="T28" t="str">
        <f>IFERROR(OpeningInventories[[#This Row],[MN_INSITU_WTAVG]],"")</f>
        <v/>
      </c>
    </row>
    <row r="29" spans="1:20" x14ac:dyDescent="0.3">
      <c r="A29" t="str">
        <f>IFERROR(OpeningInventories[[#This Row],[STOCKPILENAME]],"")</f>
        <v/>
      </c>
      <c r="B29" t="str">
        <f>IFERROR(OpeningInventories[[#This Row],[BALANCEWMT]],"")</f>
        <v/>
      </c>
      <c r="C29" t="str">
        <f>IFERROR(OpeningInventories[[#This Row],[TRANSACTIONDIRECTION]],"")</f>
        <v/>
      </c>
      <c r="P29" t="str">
        <f>IFERROR(OpeningInventories[[#This Row],[FE_INSITU_WTAVG]],"")</f>
        <v/>
      </c>
      <c r="Q29" t="str">
        <f>IFERROR(OpeningInventories[[#This Row],[SIO2_INSITU_WTAVG]],"")</f>
        <v/>
      </c>
      <c r="R29" t="str">
        <f>IFERROR(OpeningInventories[[#This Row],[AL2O3_INSITU_WTAVG]],"")</f>
        <v/>
      </c>
      <c r="S29" t="str">
        <f>IFERROR(OpeningInventories[[#This Row],[P_INSITU_WTAVG]],"")</f>
        <v/>
      </c>
      <c r="T29" t="str">
        <f>IFERROR(OpeningInventories[[#This Row],[MN_INSITU_WTAVG]],"")</f>
        <v/>
      </c>
    </row>
    <row r="30" spans="1:20" x14ac:dyDescent="0.3">
      <c r="A30" t="str">
        <f>IFERROR(OpeningInventories[[#This Row],[STOCKPILENAME]],"")</f>
        <v/>
      </c>
      <c r="B30" t="str">
        <f>IFERROR(OpeningInventories[[#This Row],[BALANCEWMT]],"")</f>
        <v/>
      </c>
      <c r="C30" t="str">
        <f>IFERROR(OpeningInventories[[#This Row],[TRANSACTIONDIRECTION]],"")</f>
        <v/>
      </c>
      <c r="P30" t="str">
        <f>IFERROR(OpeningInventories[[#This Row],[FE_INSITU_WTAVG]],"")</f>
        <v/>
      </c>
      <c r="Q30" t="str">
        <f>IFERROR(OpeningInventories[[#This Row],[SIO2_INSITU_WTAVG]],"")</f>
        <v/>
      </c>
      <c r="R30" t="str">
        <f>IFERROR(OpeningInventories[[#This Row],[AL2O3_INSITU_WTAVG]],"")</f>
        <v/>
      </c>
      <c r="S30" t="str">
        <f>IFERROR(OpeningInventories[[#This Row],[P_INSITU_WTAVG]],"")</f>
        <v/>
      </c>
      <c r="T30" t="str">
        <f>IFERROR(OpeningInventories[[#This Row],[MN_INSITU_WTAVG]],"")</f>
        <v/>
      </c>
    </row>
    <row r="31" spans="1:20" x14ac:dyDescent="0.3">
      <c r="A31" t="str">
        <f>IFERROR(OpeningInventories[[#This Row],[STOCKPILENAME]],"")</f>
        <v/>
      </c>
      <c r="B31" t="str">
        <f>IFERROR(OpeningInventories[[#This Row],[BALANCEWMT]],"")</f>
        <v/>
      </c>
      <c r="C31" t="str">
        <f>IFERROR(OpeningInventories[[#This Row],[TRANSACTIONDIRECTION]],"")</f>
        <v/>
      </c>
      <c r="P31" t="str">
        <f>IFERROR(OpeningInventories[[#This Row],[FE_INSITU_WTAVG]],"")</f>
        <v/>
      </c>
      <c r="Q31" t="str">
        <f>IFERROR(OpeningInventories[[#This Row],[SIO2_INSITU_WTAVG]],"")</f>
        <v/>
      </c>
      <c r="R31" t="str">
        <f>IFERROR(OpeningInventories[[#This Row],[AL2O3_INSITU_WTAVG]],"")</f>
        <v/>
      </c>
      <c r="S31" t="str">
        <f>IFERROR(OpeningInventories[[#This Row],[P_INSITU_WTAVG]],"")</f>
        <v/>
      </c>
      <c r="T31" t="str">
        <f>IFERROR(OpeningInventories[[#This Row],[MN_INSITU_WTAVG]],"")</f>
        <v/>
      </c>
    </row>
    <row r="32" spans="1:20" x14ac:dyDescent="0.3">
      <c r="A32" t="str">
        <f>IFERROR(OpeningInventories[[#This Row],[STOCKPILENAME]],"")</f>
        <v/>
      </c>
      <c r="B32" t="str">
        <f>IFERROR(OpeningInventories[[#This Row],[BALANCEWMT]],"")</f>
        <v/>
      </c>
      <c r="C32" t="str">
        <f>IFERROR(OpeningInventories[[#This Row],[TRANSACTIONDIRECTION]],"")</f>
        <v/>
      </c>
      <c r="P32" t="str">
        <f>IFERROR(OpeningInventories[[#This Row],[FE_INSITU_WTAVG]],"")</f>
        <v/>
      </c>
      <c r="Q32" t="str">
        <f>IFERROR(OpeningInventories[[#This Row],[SIO2_INSITU_WTAVG]],"")</f>
        <v/>
      </c>
      <c r="R32" t="str">
        <f>IFERROR(OpeningInventories[[#This Row],[AL2O3_INSITU_WTAVG]],"")</f>
        <v/>
      </c>
      <c r="S32" t="str">
        <f>IFERROR(OpeningInventories[[#This Row],[P_INSITU_WTAVG]],"")</f>
        <v/>
      </c>
      <c r="T32" t="str">
        <f>IFERROR(OpeningInventories[[#This Row],[MN_INSITU_WTAVG]],"")</f>
        <v/>
      </c>
    </row>
    <row r="33" spans="1:20" x14ac:dyDescent="0.3">
      <c r="A33" t="str">
        <f>IFERROR(OpeningInventories[[#This Row],[STOCKPILENAME]],"")</f>
        <v/>
      </c>
      <c r="B33" t="str">
        <f>IFERROR(OpeningInventories[[#This Row],[BALANCEWMT]],"")</f>
        <v/>
      </c>
      <c r="C33" t="str">
        <f>IFERROR(OpeningInventories[[#This Row],[TRANSACTIONDIRECTION]],"")</f>
        <v/>
      </c>
      <c r="P33" t="str">
        <f>IFERROR(OpeningInventories[[#This Row],[FE_INSITU_WTAVG]],"")</f>
        <v/>
      </c>
      <c r="Q33" t="str">
        <f>IFERROR(OpeningInventories[[#This Row],[SIO2_INSITU_WTAVG]],"")</f>
        <v/>
      </c>
      <c r="R33" t="str">
        <f>IFERROR(OpeningInventories[[#This Row],[AL2O3_INSITU_WTAVG]],"")</f>
        <v/>
      </c>
      <c r="S33" t="str">
        <f>IFERROR(OpeningInventories[[#This Row],[P_INSITU_WTAVG]],"")</f>
        <v/>
      </c>
      <c r="T33" t="str">
        <f>IFERROR(OpeningInventories[[#This Row],[MN_INSITU_WTAVG]],"")</f>
        <v/>
      </c>
    </row>
    <row r="34" spans="1:20" x14ac:dyDescent="0.3">
      <c r="A34" t="str">
        <f>IFERROR(OpeningInventories[[#This Row],[STOCKPILENAME]],"")</f>
        <v/>
      </c>
      <c r="B34" t="str">
        <f>IFERROR(OpeningInventories[[#This Row],[BALANCEWMT]],"")</f>
        <v/>
      </c>
      <c r="C34" t="str">
        <f>IFERROR(OpeningInventories[[#This Row],[TRANSACTIONDIRECTION]],"")</f>
        <v/>
      </c>
      <c r="P34" t="str">
        <f>IFERROR(OpeningInventories[[#This Row],[FE_INSITU_WTAVG]],"")</f>
        <v/>
      </c>
      <c r="Q34" t="str">
        <f>IFERROR(OpeningInventories[[#This Row],[SIO2_INSITU_WTAVG]],"")</f>
        <v/>
      </c>
      <c r="R34" t="str">
        <f>IFERROR(OpeningInventories[[#This Row],[AL2O3_INSITU_WTAVG]],"")</f>
        <v/>
      </c>
      <c r="S34" t="str">
        <f>IFERROR(OpeningInventories[[#This Row],[P_INSITU_WTAVG]],"")</f>
        <v/>
      </c>
      <c r="T34" t="str">
        <f>IFERROR(OpeningInventories[[#This Row],[MN_INSITU_WTAVG]],"")</f>
        <v/>
      </c>
    </row>
    <row r="35" spans="1:20" x14ac:dyDescent="0.3">
      <c r="A35" t="str">
        <f>IFERROR(OpeningInventories[[#This Row],[STOCKPILENAME]],"")</f>
        <v/>
      </c>
      <c r="B35" t="str">
        <f>IFERROR(OpeningInventories[[#This Row],[BALANCEWMT]],"")</f>
        <v/>
      </c>
      <c r="C35" t="str">
        <f>IFERROR(OpeningInventories[[#This Row],[TRANSACTIONDIRECTION]],"")</f>
        <v/>
      </c>
      <c r="P35" t="str">
        <f>IFERROR(OpeningInventories[[#This Row],[FE_INSITU_WTAVG]],"")</f>
        <v/>
      </c>
      <c r="Q35" t="str">
        <f>IFERROR(OpeningInventories[[#This Row],[SIO2_INSITU_WTAVG]],"")</f>
        <v/>
      </c>
      <c r="R35" t="str">
        <f>IFERROR(OpeningInventories[[#This Row],[AL2O3_INSITU_WTAVG]],"")</f>
        <v/>
      </c>
      <c r="S35" t="str">
        <f>IFERROR(OpeningInventories[[#This Row],[P_INSITU_WTAVG]],"")</f>
        <v/>
      </c>
      <c r="T35" t="str">
        <f>IFERROR(OpeningInventories[[#This Row],[MN_INSITU_WTAVG]],"")</f>
        <v/>
      </c>
    </row>
    <row r="36" spans="1:20" x14ac:dyDescent="0.3">
      <c r="A36" t="str">
        <f>IFERROR(OpeningInventories[[#This Row],[STOCKPILENAME]],"")</f>
        <v/>
      </c>
      <c r="B36" t="str">
        <f>IFERROR(OpeningInventories[[#This Row],[BALANCEWMT]],"")</f>
        <v/>
      </c>
      <c r="C36" t="str">
        <f>IFERROR(OpeningInventories[[#This Row],[TRANSACTIONDIRECTION]],"")</f>
        <v/>
      </c>
      <c r="P36" t="str">
        <f>IFERROR(OpeningInventories[[#This Row],[FE_INSITU_WTAVG]],"")</f>
        <v/>
      </c>
      <c r="Q36" t="str">
        <f>IFERROR(OpeningInventories[[#This Row],[SIO2_INSITU_WTAVG]],"")</f>
        <v/>
      </c>
      <c r="R36" t="str">
        <f>IFERROR(OpeningInventories[[#This Row],[AL2O3_INSITU_WTAVG]],"")</f>
        <v/>
      </c>
      <c r="S36" t="str">
        <f>IFERROR(OpeningInventories[[#This Row],[P_INSITU_WTAVG]],"")</f>
        <v/>
      </c>
      <c r="T36" t="str">
        <f>IFERROR(OpeningInventories[[#This Row],[MN_INSITU_WTAVG]],"")</f>
        <v/>
      </c>
    </row>
    <row r="37" spans="1:20" x14ac:dyDescent="0.3">
      <c r="A37" t="str">
        <f>IFERROR(OpeningInventories[[#This Row],[STOCKPILENAME]],"")</f>
        <v/>
      </c>
      <c r="B37" t="str">
        <f>IFERROR(OpeningInventories[[#This Row],[BALANCEWMT]],"")</f>
        <v/>
      </c>
      <c r="C37" t="str">
        <f>IFERROR(OpeningInventories[[#This Row],[TRANSACTIONDIRECTION]],"")</f>
        <v/>
      </c>
      <c r="P37" t="str">
        <f>IFERROR(OpeningInventories[[#This Row],[FE_INSITU_WTAVG]],"")</f>
        <v/>
      </c>
      <c r="Q37" t="str">
        <f>IFERROR(OpeningInventories[[#This Row],[SIO2_INSITU_WTAVG]],"")</f>
        <v/>
      </c>
      <c r="R37" t="str">
        <f>IFERROR(OpeningInventories[[#This Row],[AL2O3_INSITU_WTAVG]],"")</f>
        <v/>
      </c>
      <c r="S37" t="str">
        <f>IFERROR(OpeningInventories[[#This Row],[P_INSITU_WTAVG]],"")</f>
        <v/>
      </c>
      <c r="T37" t="str">
        <f>IFERROR(OpeningInventories[[#This Row],[MN_INSITU_WTAVG]],"")</f>
        <v/>
      </c>
    </row>
    <row r="38" spans="1:20" x14ac:dyDescent="0.3">
      <c r="A38" t="str">
        <f>IFERROR(OpeningInventories[[#This Row],[STOCKPILENAME]],"")</f>
        <v/>
      </c>
      <c r="B38" t="str">
        <f>IFERROR(OpeningInventories[[#This Row],[BALANCEWMT]],"")</f>
        <v/>
      </c>
      <c r="C38" t="str">
        <f>IFERROR(OpeningInventories[[#This Row],[TRANSACTIONDIRECTION]],"")</f>
        <v/>
      </c>
      <c r="P38" t="str">
        <f>IFERROR(OpeningInventories[[#This Row],[FE_INSITU_WTAVG]],"")</f>
        <v/>
      </c>
      <c r="Q38" t="str">
        <f>IFERROR(OpeningInventories[[#This Row],[SIO2_INSITU_WTAVG]],"")</f>
        <v/>
      </c>
      <c r="R38" t="str">
        <f>IFERROR(OpeningInventories[[#This Row],[AL2O3_INSITU_WTAVG]],"")</f>
        <v/>
      </c>
      <c r="S38" t="str">
        <f>IFERROR(OpeningInventories[[#This Row],[P_INSITU_WTAVG]],"")</f>
        <v/>
      </c>
      <c r="T38" t="str">
        <f>IFERROR(OpeningInventories[[#This Row],[MN_INSITU_WTAVG]],"")</f>
        <v/>
      </c>
    </row>
    <row r="39" spans="1:20" x14ac:dyDescent="0.3">
      <c r="A39" t="str">
        <f>IFERROR(OpeningInventories[[#This Row],[STOCKPILENAME]],"")</f>
        <v/>
      </c>
      <c r="B39" t="str">
        <f>IFERROR(OpeningInventories[[#This Row],[BALANCEWMT]],"")</f>
        <v/>
      </c>
      <c r="C39" t="str">
        <f>IFERROR(OpeningInventories[[#This Row],[TRANSACTIONDIRECTION]],"")</f>
        <v/>
      </c>
      <c r="P39" t="str">
        <f>IFERROR(OpeningInventories[[#This Row],[FE_INSITU_WTAVG]],"")</f>
        <v/>
      </c>
      <c r="Q39" t="str">
        <f>IFERROR(OpeningInventories[[#This Row],[SIO2_INSITU_WTAVG]],"")</f>
        <v/>
      </c>
      <c r="R39" t="str">
        <f>IFERROR(OpeningInventories[[#This Row],[AL2O3_INSITU_WTAVG]],"")</f>
        <v/>
      </c>
      <c r="S39" t="str">
        <f>IFERROR(OpeningInventories[[#This Row],[P_INSITU_WTAVG]],"")</f>
        <v/>
      </c>
      <c r="T39" t="str">
        <f>IFERROR(OpeningInventories[[#This Row],[MN_INSITU_WTAVG]],"")</f>
        <v/>
      </c>
    </row>
    <row r="40" spans="1:20" x14ac:dyDescent="0.3">
      <c r="A40" t="str">
        <f>IFERROR(OpeningInventories[[#This Row],[STOCKPILENAME]],"")</f>
        <v/>
      </c>
      <c r="B40" t="str">
        <f>IFERROR(OpeningInventories[[#This Row],[BALANCEWMT]],"")</f>
        <v/>
      </c>
      <c r="C40" t="str">
        <f>IFERROR(OpeningInventories[[#This Row],[TRANSACTIONDIRECTION]],"")</f>
        <v/>
      </c>
      <c r="P40" t="str">
        <f>IFERROR(OpeningInventories[[#This Row],[FE_INSITU_WTAVG]],"")</f>
        <v/>
      </c>
      <c r="Q40" t="str">
        <f>IFERROR(OpeningInventories[[#This Row],[SIO2_INSITU_WTAVG]],"")</f>
        <v/>
      </c>
      <c r="R40" t="str">
        <f>IFERROR(OpeningInventories[[#This Row],[AL2O3_INSITU_WTAVG]],"")</f>
        <v/>
      </c>
      <c r="S40" t="str">
        <f>IFERROR(OpeningInventories[[#This Row],[P_INSITU_WTAVG]],"")</f>
        <v/>
      </c>
      <c r="T40" t="str">
        <f>IFERROR(OpeningInventories[[#This Row],[MN_INSITU_WTAVG]],"")</f>
        <v/>
      </c>
    </row>
    <row r="41" spans="1:20" x14ac:dyDescent="0.3">
      <c r="A41" t="str">
        <f>IFERROR(OpeningInventories[[#This Row],[STOCKPILENAME]],"")</f>
        <v/>
      </c>
      <c r="B41" t="str">
        <f>IFERROR(OpeningInventories[[#This Row],[BALANCEWMT]],"")</f>
        <v/>
      </c>
      <c r="C41" t="str">
        <f>IFERROR(OpeningInventories[[#This Row],[TRANSACTIONDIRECTION]],"")</f>
        <v/>
      </c>
      <c r="P41" t="str">
        <f>IFERROR(OpeningInventories[[#This Row],[FE_INSITU_WTAVG]],"")</f>
        <v/>
      </c>
      <c r="Q41" t="str">
        <f>IFERROR(OpeningInventories[[#This Row],[SIO2_INSITU_WTAVG]],"")</f>
        <v/>
      </c>
      <c r="R41" t="str">
        <f>IFERROR(OpeningInventories[[#This Row],[AL2O3_INSITU_WTAVG]],"")</f>
        <v/>
      </c>
      <c r="S41" t="str">
        <f>IFERROR(OpeningInventories[[#This Row],[P_INSITU_WTAVG]],"")</f>
        <v/>
      </c>
      <c r="T41" t="str">
        <f>IFERROR(OpeningInventories[[#This Row],[MN_INSITU_WTAVG]],"")</f>
        <v/>
      </c>
    </row>
    <row r="42" spans="1:20" x14ac:dyDescent="0.3">
      <c r="A42" t="str">
        <f>IFERROR(OpeningInventories[[#This Row],[STOCKPILENAME]],"")</f>
        <v/>
      </c>
      <c r="B42" t="str">
        <f>IFERROR(OpeningInventories[[#This Row],[BALANCEWMT]],"")</f>
        <v/>
      </c>
      <c r="C42" t="str">
        <f>IFERROR(OpeningInventories[[#This Row],[TRANSACTIONDIRECTION]],"")</f>
        <v/>
      </c>
      <c r="P42" t="str">
        <f>IFERROR(OpeningInventories[[#This Row],[FE_INSITU_WTAVG]],"")</f>
        <v/>
      </c>
      <c r="Q42" t="str">
        <f>IFERROR(OpeningInventories[[#This Row],[SIO2_INSITU_WTAVG]],"")</f>
        <v/>
      </c>
      <c r="R42" t="str">
        <f>IFERROR(OpeningInventories[[#This Row],[AL2O3_INSITU_WTAVG]],"")</f>
        <v/>
      </c>
      <c r="S42" t="str">
        <f>IFERROR(OpeningInventories[[#This Row],[P_INSITU_WTAVG]],"")</f>
        <v/>
      </c>
      <c r="T42" t="str">
        <f>IFERROR(OpeningInventories[[#This Row],[MN_INSITU_WTAVG]],"")</f>
        <v/>
      </c>
    </row>
    <row r="43" spans="1:20" x14ac:dyDescent="0.3">
      <c r="A43" t="str">
        <f>IFERROR(OpeningInventories[[#This Row],[STOCKPILENAME]],"")</f>
        <v/>
      </c>
      <c r="B43" t="str">
        <f>IFERROR(OpeningInventories[[#This Row],[BALANCEWMT]],"")</f>
        <v/>
      </c>
      <c r="C43" t="str">
        <f>IFERROR(OpeningInventories[[#This Row],[TRANSACTIONDIRECTION]],"")</f>
        <v/>
      </c>
      <c r="P43" t="str">
        <f>IFERROR(OpeningInventories[[#This Row],[FE_INSITU_WTAVG]],"")</f>
        <v/>
      </c>
      <c r="Q43" t="str">
        <f>IFERROR(OpeningInventories[[#This Row],[SIO2_INSITU_WTAVG]],"")</f>
        <v/>
      </c>
      <c r="R43" t="str">
        <f>IFERROR(OpeningInventories[[#This Row],[AL2O3_INSITU_WTAVG]],"")</f>
        <v/>
      </c>
      <c r="S43" t="str">
        <f>IFERROR(OpeningInventories[[#This Row],[P_INSITU_WTAVG]],"")</f>
        <v/>
      </c>
      <c r="T43" t="str">
        <f>IFERROR(OpeningInventories[[#This Row],[MN_INSITU_WTAVG]],"")</f>
        <v/>
      </c>
    </row>
    <row r="44" spans="1:20" x14ac:dyDescent="0.3">
      <c r="A44" t="str">
        <f>IFERROR(OpeningInventories[[#This Row],[STOCKPILENAME]],"")</f>
        <v/>
      </c>
      <c r="B44" t="str">
        <f>IFERROR(OpeningInventories[[#This Row],[BALANCEWMT]],"")</f>
        <v/>
      </c>
      <c r="C44" t="str">
        <f>IFERROR(OpeningInventories[[#This Row],[TRANSACTIONDIRECTION]],"")</f>
        <v/>
      </c>
      <c r="P44" t="str">
        <f>IFERROR(OpeningInventories[[#This Row],[FE_INSITU_WTAVG]],"")</f>
        <v/>
      </c>
      <c r="Q44" t="str">
        <f>IFERROR(OpeningInventories[[#This Row],[SIO2_INSITU_WTAVG]],"")</f>
        <v/>
      </c>
      <c r="R44" t="str">
        <f>IFERROR(OpeningInventories[[#This Row],[AL2O3_INSITU_WTAVG]],"")</f>
        <v/>
      </c>
      <c r="S44" t="str">
        <f>IFERROR(OpeningInventories[[#This Row],[P_INSITU_WTAVG]],"")</f>
        <v/>
      </c>
      <c r="T44" t="str">
        <f>IFERROR(OpeningInventories[[#This Row],[MN_INSITU_WTAVG]],"")</f>
        <v/>
      </c>
    </row>
    <row r="45" spans="1:20" x14ac:dyDescent="0.3">
      <c r="A45" t="str">
        <f>IFERROR(OpeningInventories[[#This Row],[STOCKPILENAME]],"")</f>
        <v/>
      </c>
      <c r="B45" t="str">
        <f>IFERROR(OpeningInventories[[#This Row],[BALANCEWMT]],"")</f>
        <v/>
      </c>
      <c r="C45" t="str">
        <f>IFERROR(OpeningInventories[[#This Row],[TRANSACTIONDIRECTION]],"")</f>
        <v/>
      </c>
      <c r="P45" t="str">
        <f>IFERROR(OpeningInventories[[#This Row],[FE_INSITU_WTAVG]],"")</f>
        <v/>
      </c>
      <c r="Q45" t="str">
        <f>IFERROR(OpeningInventories[[#This Row],[SIO2_INSITU_WTAVG]],"")</f>
        <v/>
      </c>
      <c r="R45" t="str">
        <f>IFERROR(OpeningInventories[[#This Row],[AL2O3_INSITU_WTAVG]],"")</f>
        <v/>
      </c>
      <c r="S45" t="str">
        <f>IFERROR(OpeningInventories[[#This Row],[P_INSITU_WTAVG]],"")</f>
        <v/>
      </c>
      <c r="T45" t="str">
        <f>IFERROR(OpeningInventories[[#This Row],[MN_INSITU_WTAVG]],"")</f>
        <v/>
      </c>
    </row>
    <row r="46" spans="1:20" x14ac:dyDescent="0.3">
      <c r="A46" t="str">
        <f>IFERROR(OpeningInventories[[#This Row],[STOCKPILENAME]],"")</f>
        <v/>
      </c>
      <c r="B46" t="str">
        <f>IFERROR(OpeningInventories[[#This Row],[BALANCEWMT]],"")</f>
        <v/>
      </c>
      <c r="C46" t="str">
        <f>IFERROR(OpeningInventories[[#This Row],[TRANSACTIONDIRECTION]],"")</f>
        <v/>
      </c>
      <c r="P46" t="str">
        <f>IFERROR(OpeningInventories[[#This Row],[FE_INSITU_WTAVG]],"")</f>
        <v/>
      </c>
      <c r="Q46" t="str">
        <f>IFERROR(OpeningInventories[[#This Row],[SIO2_INSITU_WTAVG]],"")</f>
        <v/>
      </c>
      <c r="R46" t="str">
        <f>IFERROR(OpeningInventories[[#This Row],[AL2O3_INSITU_WTAVG]],"")</f>
        <v/>
      </c>
      <c r="S46" t="str">
        <f>IFERROR(OpeningInventories[[#This Row],[P_INSITU_WTAVG]],"")</f>
        <v/>
      </c>
      <c r="T46" t="str">
        <f>IFERROR(OpeningInventories[[#This Row],[MN_INSITU_WTAVG]],"")</f>
        <v/>
      </c>
    </row>
    <row r="47" spans="1:20" x14ac:dyDescent="0.3">
      <c r="A47" t="str">
        <f>IFERROR(OpeningInventories[[#This Row],[STOCKPILENAME]],"")</f>
        <v/>
      </c>
      <c r="B47" t="str">
        <f>IFERROR(OpeningInventories[[#This Row],[BALANCEWMT]],"")</f>
        <v/>
      </c>
      <c r="C47" t="str">
        <f>IFERROR(OpeningInventories[[#This Row],[TRANSACTIONDIRECTION]],"")</f>
        <v/>
      </c>
      <c r="P47" t="str">
        <f>IFERROR(OpeningInventories[[#This Row],[FE_INSITU_WTAVG]],"")</f>
        <v/>
      </c>
      <c r="Q47" t="str">
        <f>IFERROR(OpeningInventories[[#This Row],[SIO2_INSITU_WTAVG]],"")</f>
        <v/>
      </c>
      <c r="R47" t="str">
        <f>IFERROR(OpeningInventories[[#This Row],[AL2O3_INSITU_WTAVG]],"")</f>
        <v/>
      </c>
      <c r="S47" t="str">
        <f>IFERROR(OpeningInventories[[#This Row],[P_INSITU_WTAVG]],"")</f>
        <v/>
      </c>
      <c r="T47" t="str">
        <f>IFERROR(OpeningInventories[[#This Row],[MN_INSITU_WTAVG]],"")</f>
        <v/>
      </c>
    </row>
    <row r="48" spans="1:20" x14ac:dyDescent="0.3">
      <c r="A48" t="str">
        <f>IFERROR(OpeningInventories[[#This Row],[STOCKPILENAME]],"")</f>
        <v/>
      </c>
      <c r="B48" t="str">
        <f>IFERROR(OpeningInventories[[#This Row],[BALANCEWMT]],"")</f>
        <v/>
      </c>
      <c r="C48" t="str">
        <f>IFERROR(OpeningInventories[[#This Row],[TRANSACTIONDIRECTION]],"")</f>
        <v/>
      </c>
      <c r="P48" t="str">
        <f>IFERROR(OpeningInventories[[#This Row],[FE_INSITU_WTAVG]],"")</f>
        <v/>
      </c>
      <c r="Q48" t="str">
        <f>IFERROR(OpeningInventories[[#This Row],[SIO2_INSITU_WTAVG]],"")</f>
        <v/>
      </c>
      <c r="R48" t="str">
        <f>IFERROR(OpeningInventories[[#This Row],[AL2O3_INSITU_WTAVG]],"")</f>
        <v/>
      </c>
      <c r="S48" t="str">
        <f>IFERROR(OpeningInventories[[#This Row],[P_INSITU_WTAVG]],"")</f>
        <v/>
      </c>
      <c r="T48" t="str">
        <f>IFERROR(OpeningInventories[[#This Row],[MN_INSITU_WTAVG]],"")</f>
        <v/>
      </c>
    </row>
    <row r="49" spans="1:20" x14ac:dyDescent="0.3">
      <c r="A49" t="str">
        <f>IFERROR(OpeningInventories[[#This Row],[STOCKPILENAME]],"")</f>
        <v/>
      </c>
      <c r="B49" t="str">
        <f>IFERROR(OpeningInventories[[#This Row],[BALANCEWMT]],"")</f>
        <v/>
      </c>
      <c r="C49" t="str">
        <f>IFERROR(OpeningInventories[[#This Row],[TRANSACTIONDIRECTION]],"")</f>
        <v/>
      </c>
      <c r="P49" t="str">
        <f>IFERROR(OpeningInventories[[#This Row],[FE_INSITU_WTAVG]],"")</f>
        <v/>
      </c>
      <c r="Q49" t="str">
        <f>IFERROR(OpeningInventories[[#This Row],[SIO2_INSITU_WTAVG]],"")</f>
        <v/>
      </c>
      <c r="R49" t="str">
        <f>IFERROR(OpeningInventories[[#This Row],[AL2O3_INSITU_WTAVG]],"")</f>
        <v/>
      </c>
      <c r="S49" t="str">
        <f>IFERROR(OpeningInventories[[#This Row],[P_INSITU_WTAVG]],"")</f>
        <v/>
      </c>
      <c r="T49" t="str">
        <f>IFERROR(OpeningInventories[[#This Row],[MN_INSITU_WTAVG]],"")</f>
        <v/>
      </c>
    </row>
    <row r="50" spans="1:20" x14ac:dyDescent="0.3">
      <c r="A50" t="str">
        <f>IFERROR(OpeningInventories[[#This Row],[STOCKPILENAME]],"")</f>
        <v/>
      </c>
      <c r="B50" t="str">
        <f>IFERROR(OpeningInventories[[#This Row],[BALANCEWMT]],"")</f>
        <v/>
      </c>
      <c r="C50" t="str">
        <f>IFERROR(OpeningInventories[[#This Row],[TRANSACTIONDIRECTION]],"")</f>
        <v/>
      </c>
      <c r="P50" t="str">
        <f>IFERROR(OpeningInventories[[#This Row],[FE_INSITU_WTAVG]],"")</f>
        <v/>
      </c>
      <c r="Q50" t="str">
        <f>IFERROR(OpeningInventories[[#This Row],[SIO2_INSITU_WTAVG]],"")</f>
        <v/>
      </c>
      <c r="R50" t="str">
        <f>IFERROR(OpeningInventories[[#This Row],[AL2O3_INSITU_WTAVG]],"")</f>
        <v/>
      </c>
      <c r="S50" t="str">
        <f>IFERROR(OpeningInventories[[#This Row],[P_INSITU_WTAVG]],"")</f>
        <v/>
      </c>
      <c r="T50" t="str">
        <f>IFERROR(OpeningInventories[[#This Row],[MN_INSITU_WTAVG]],"")</f>
        <v/>
      </c>
    </row>
    <row r="51" spans="1:20" x14ac:dyDescent="0.3">
      <c r="A51" t="str">
        <f>IFERROR(OpeningInventories[[#This Row],[STOCKPILENAME]],"")</f>
        <v/>
      </c>
      <c r="B51" t="str">
        <f>IFERROR(OpeningInventories[[#This Row],[BALANCEWMT]],"")</f>
        <v/>
      </c>
      <c r="C51" t="str">
        <f>IFERROR(OpeningInventories[[#This Row],[TRANSACTIONDIRECTION]],"")</f>
        <v/>
      </c>
      <c r="P51" t="str">
        <f>IFERROR(OpeningInventories[[#This Row],[FE_INSITU_WTAVG]],"")</f>
        <v/>
      </c>
      <c r="Q51" t="str">
        <f>IFERROR(OpeningInventories[[#This Row],[SIO2_INSITU_WTAVG]],"")</f>
        <v/>
      </c>
      <c r="R51" t="str">
        <f>IFERROR(OpeningInventories[[#This Row],[AL2O3_INSITU_WTAVG]],"")</f>
        <v/>
      </c>
      <c r="S51" t="str">
        <f>IFERROR(OpeningInventories[[#This Row],[P_INSITU_WTAVG]],"")</f>
        <v/>
      </c>
      <c r="T51" t="str">
        <f>IFERROR(OpeningInventories[[#This Row],[MN_INSITU_WTAVG]],"")</f>
        <v/>
      </c>
    </row>
    <row r="52" spans="1:20" x14ac:dyDescent="0.3">
      <c r="A52" t="str">
        <f>IFERROR(OpeningInventories[[#This Row],[STOCKPILENAME]],"")</f>
        <v/>
      </c>
      <c r="B52" t="str">
        <f>IFERROR(OpeningInventories[[#This Row],[BALANCEWMT]],"")</f>
        <v/>
      </c>
      <c r="C52" t="str">
        <f>IFERROR(OpeningInventories[[#This Row],[TRANSACTIONDIRECTION]],"")</f>
        <v/>
      </c>
      <c r="P52" t="str">
        <f>IFERROR(OpeningInventories[[#This Row],[FE_INSITU_WTAVG]],"")</f>
        <v/>
      </c>
      <c r="Q52" t="str">
        <f>IFERROR(OpeningInventories[[#This Row],[SIO2_INSITU_WTAVG]],"")</f>
        <v/>
      </c>
      <c r="R52" t="str">
        <f>IFERROR(OpeningInventories[[#This Row],[AL2O3_INSITU_WTAVG]],"")</f>
        <v/>
      </c>
      <c r="S52" t="str">
        <f>IFERROR(OpeningInventories[[#This Row],[P_INSITU_WTAVG]],"")</f>
        <v/>
      </c>
      <c r="T52" t="str">
        <f>IFERROR(OpeningInventories[[#This Row],[MN_INSITU_WTAVG]],"")</f>
        <v/>
      </c>
    </row>
    <row r="53" spans="1:20" x14ac:dyDescent="0.3">
      <c r="A53" t="str">
        <f>IFERROR(OpeningInventories[[#This Row],[STOCKPILENAME]],"")</f>
        <v/>
      </c>
      <c r="B53" t="str">
        <f>IFERROR(OpeningInventories[[#This Row],[BALANCEWMT]],"")</f>
        <v/>
      </c>
      <c r="C53" t="str">
        <f>IFERROR(OpeningInventories[[#This Row],[TRANSACTIONDIRECTION]],"")</f>
        <v/>
      </c>
      <c r="P53" t="str">
        <f>IFERROR(OpeningInventories[[#This Row],[FE_INSITU_WTAVG]],"")</f>
        <v/>
      </c>
      <c r="Q53" t="str">
        <f>IFERROR(OpeningInventories[[#This Row],[SIO2_INSITU_WTAVG]],"")</f>
        <v/>
      </c>
      <c r="R53" t="str">
        <f>IFERROR(OpeningInventories[[#This Row],[AL2O3_INSITU_WTAVG]],"")</f>
        <v/>
      </c>
      <c r="S53" t="str">
        <f>IFERROR(OpeningInventories[[#This Row],[P_INSITU_WTAVG]],"")</f>
        <v/>
      </c>
      <c r="T53" t="str">
        <f>IFERROR(OpeningInventories[[#This Row],[MN_INSITU_WTAVG]],"")</f>
        <v/>
      </c>
    </row>
    <row r="54" spans="1:20" x14ac:dyDescent="0.3">
      <c r="A54" t="str">
        <f>IFERROR(OpeningInventories[[#This Row],[STOCKPILENAME]],"")</f>
        <v/>
      </c>
      <c r="B54" t="str">
        <f>IFERROR(OpeningInventories[[#This Row],[BALANCEWMT]],"")</f>
        <v/>
      </c>
      <c r="C54" t="str">
        <f>IFERROR(OpeningInventories[[#This Row],[TRANSACTIONDIRECTION]],"")</f>
        <v/>
      </c>
      <c r="P54" t="str">
        <f>IFERROR(OpeningInventories[[#This Row],[FE_INSITU_WTAVG]],"")</f>
        <v/>
      </c>
      <c r="Q54" t="str">
        <f>IFERROR(OpeningInventories[[#This Row],[SIO2_INSITU_WTAVG]],"")</f>
        <v/>
      </c>
      <c r="R54" t="str">
        <f>IFERROR(OpeningInventories[[#This Row],[AL2O3_INSITU_WTAVG]],"")</f>
        <v/>
      </c>
      <c r="S54" t="str">
        <f>IFERROR(OpeningInventories[[#This Row],[P_INSITU_WTAVG]],"")</f>
        <v/>
      </c>
      <c r="T54" t="str">
        <f>IFERROR(OpeningInventories[[#This Row],[MN_INSITU_WTAVG]],"")</f>
        <v/>
      </c>
    </row>
    <row r="55" spans="1:20" x14ac:dyDescent="0.3">
      <c r="A55" t="str">
        <f>IFERROR(OpeningInventories[[#This Row],[STOCKPILENAME]],"")</f>
        <v/>
      </c>
      <c r="B55" t="str">
        <f>IFERROR(OpeningInventories[[#This Row],[BALANCEWMT]],"")</f>
        <v/>
      </c>
      <c r="C55" t="str">
        <f>IFERROR(OpeningInventories[[#This Row],[TRANSACTIONDIRECTION]],"")</f>
        <v/>
      </c>
      <c r="P55" t="str">
        <f>IFERROR(OpeningInventories[[#This Row],[FE_INSITU_WTAVG]],"")</f>
        <v/>
      </c>
      <c r="Q55" t="str">
        <f>IFERROR(OpeningInventories[[#This Row],[SIO2_INSITU_WTAVG]],"")</f>
        <v/>
      </c>
      <c r="R55" t="str">
        <f>IFERROR(OpeningInventories[[#This Row],[AL2O3_INSITU_WTAVG]],"")</f>
        <v/>
      </c>
      <c r="S55" t="str">
        <f>IFERROR(OpeningInventories[[#This Row],[P_INSITU_WTAVG]],"")</f>
        <v/>
      </c>
      <c r="T55" t="str">
        <f>IFERROR(OpeningInventories[[#This Row],[MN_INSITU_WTAVG]],"")</f>
        <v/>
      </c>
    </row>
    <row r="56" spans="1:20" x14ac:dyDescent="0.3">
      <c r="A56" t="str">
        <f>IFERROR(OpeningInventories[[#This Row],[STOCKPILENAME]],"")</f>
        <v/>
      </c>
      <c r="B56" t="str">
        <f>IFERROR(OpeningInventories[[#This Row],[BALANCEWMT]],"")</f>
        <v/>
      </c>
      <c r="C56" t="str">
        <f>IFERROR(OpeningInventories[[#This Row],[TRANSACTIONDIRECTION]],"")</f>
        <v/>
      </c>
      <c r="P56" t="str">
        <f>IFERROR(OpeningInventories[[#This Row],[FE_INSITU_WTAVG]],"")</f>
        <v/>
      </c>
      <c r="Q56" t="str">
        <f>IFERROR(OpeningInventories[[#This Row],[SIO2_INSITU_WTAVG]],"")</f>
        <v/>
      </c>
      <c r="R56" t="str">
        <f>IFERROR(OpeningInventories[[#This Row],[AL2O3_INSITU_WTAVG]],"")</f>
        <v/>
      </c>
      <c r="S56" t="str">
        <f>IFERROR(OpeningInventories[[#This Row],[P_INSITU_WTAVG]],"")</f>
        <v/>
      </c>
      <c r="T56" t="str">
        <f>IFERROR(OpeningInventories[[#This Row],[MN_INSITU_WTAVG]],"")</f>
        <v/>
      </c>
    </row>
    <row r="57" spans="1:20" x14ac:dyDescent="0.3">
      <c r="A57" t="str">
        <f>IFERROR(OpeningInventories[[#This Row],[STOCKPILENAME]],"")</f>
        <v/>
      </c>
      <c r="B57" t="str">
        <f>IFERROR(OpeningInventories[[#This Row],[BALANCEWMT]],"")</f>
        <v/>
      </c>
      <c r="C57" t="str">
        <f>IFERROR(OpeningInventories[[#This Row],[TRANSACTIONDIRECTION]],"")</f>
        <v/>
      </c>
      <c r="P57" t="str">
        <f>IFERROR(OpeningInventories[[#This Row],[FE_INSITU_WTAVG]],"")</f>
        <v/>
      </c>
      <c r="Q57" t="str">
        <f>IFERROR(OpeningInventories[[#This Row],[SIO2_INSITU_WTAVG]],"")</f>
        <v/>
      </c>
      <c r="R57" t="str">
        <f>IFERROR(OpeningInventories[[#This Row],[AL2O3_INSITU_WTAVG]],"")</f>
        <v/>
      </c>
      <c r="S57" t="str">
        <f>IFERROR(OpeningInventories[[#This Row],[P_INSITU_WTAVG]],"")</f>
        <v/>
      </c>
      <c r="T57" t="str">
        <f>IFERROR(OpeningInventories[[#This Row],[MN_INSITU_WTAVG]],"")</f>
        <v/>
      </c>
    </row>
    <row r="58" spans="1:20" x14ac:dyDescent="0.3">
      <c r="A58" t="str">
        <f>IFERROR(OpeningInventories[[#This Row],[STOCKPILENAME]],"")</f>
        <v/>
      </c>
      <c r="B58" t="str">
        <f>IFERROR(OpeningInventories[[#This Row],[BALANCEWMT]],"")</f>
        <v/>
      </c>
      <c r="C58" t="str">
        <f>IFERROR(OpeningInventories[[#This Row],[TRANSACTIONDIRECTION]],"")</f>
        <v/>
      </c>
      <c r="P58" t="str">
        <f>IFERROR(OpeningInventories[[#This Row],[FE_INSITU_WTAVG]],"")</f>
        <v/>
      </c>
      <c r="Q58" t="str">
        <f>IFERROR(OpeningInventories[[#This Row],[SIO2_INSITU_WTAVG]],"")</f>
        <v/>
      </c>
      <c r="R58" t="str">
        <f>IFERROR(OpeningInventories[[#This Row],[AL2O3_INSITU_WTAVG]],"")</f>
        <v/>
      </c>
      <c r="S58" t="str">
        <f>IFERROR(OpeningInventories[[#This Row],[P_INSITU_WTAVG]],"")</f>
        <v/>
      </c>
      <c r="T58" t="str">
        <f>IFERROR(OpeningInventories[[#This Row],[MN_INSITU_WTAVG]],"")</f>
        <v/>
      </c>
    </row>
    <row r="59" spans="1:20" x14ac:dyDescent="0.3">
      <c r="A59" t="str">
        <f>IFERROR(OpeningInventories[[#This Row],[STOCKPILENAME]],"")</f>
        <v/>
      </c>
      <c r="B59" t="str">
        <f>IFERROR(OpeningInventories[[#This Row],[BALANCEWMT]],"")</f>
        <v/>
      </c>
      <c r="C59" t="str">
        <f>IFERROR(OpeningInventories[[#This Row],[TRANSACTIONDIRECTION]],"")</f>
        <v/>
      </c>
      <c r="P59" t="str">
        <f>IFERROR(OpeningInventories[[#This Row],[FE_INSITU_WTAVG]],"")</f>
        <v/>
      </c>
      <c r="Q59" t="str">
        <f>IFERROR(OpeningInventories[[#This Row],[SIO2_INSITU_WTAVG]],"")</f>
        <v/>
      </c>
      <c r="R59" t="str">
        <f>IFERROR(OpeningInventories[[#This Row],[AL2O3_INSITU_WTAVG]],"")</f>
        <v/>
      </c>
      <c r="S59" t="str">
        <f>IFERROR(OpeningInventories[[#This Row],[P_INSITU_WTAVG]],"")</f>
        <v/>
      </c>
      <c r="T59" t="str">
        <f>IFERROR(OpeningInventories[[#This Row],[MN_INSITU_WTAVG]],"")</f>
        <v/>
      </c>
    </row>
    <row r="60" spans="1:20" x14ac:dyDescent="0.3">
      <c r="A60" t="str">
        <f>IFERROR(OpeningInventories[[#This Row],[STOCKPILENAME]],"")</f>
        <v/>
      </c>
      <c r="B60" t="str">
        <f>IFERROR(OpeningInventories[[#This Row],[BALANCEWMT]],"")</f>
        <v/>
      </c>
      <c r="C60" t="str">
        <f>IFERROR(OpeningInventories[[#This Row],[TRANSACTIONDIRECTION]],"")</f>
        <v/>
      </c>
      <c r="P60" t="str">
        <f>IFERROR(OpeningInventories[[#This Row],[FE_INSITU_WTAVG]],"")</f>
        <v/>
      </c>
      <c r="Q60" t="str">
        <f>IFERROR(OpeningInventories[[#This Row],[SIO2_INSITU_WTAVG]],"")</f>
        <v/>
      </c>
      <c r="R60" t="str">
        <f>IFERROR(OpeningInventories[[#This Row],[AL2O3_INSITU_WTAVG]],"")</f>
        <v/>
      </c>
      <c r="S60" t="str">
        <f>IFERROR(OpeningInventories[[#This Row],[P_INSITU_WTAVG]],"")</f>
        <v/>
      </c>
      <c r="T60" t="str">
        <f>IFERROR(OpeningInventories[[#This Row],[MN_INSITU_WTAVG]],"")</f>
        <v/>
      </c>
    </row>
    <row r="61" spans="1:20" x14ac:dyDescent="0.3">
      <c r="A61" t="str">
        <f>IFERROR(OpeningInventories[[#This Row],[STOCKPILENAME]],"")</f>
        <v/>
      </c>
      <c r="B61" t="str">
        <f>IFERROR(OpeningInventories[[#This Row],[BALANCEWMT]],"")</f>
        <v/>
      </c>
      <c r="C61" t="str">
        <f>IFERROR(OpeningInventories[[#This Row],[TRANSACTIONDIRECTION]],"")</f>
        <v/>
      </c>
      <c r="P61" t="str">
        <f>IFERROR(OpeningInventories[[#This Row],[FE_INSITU_WTAVG]],"")</f>
        <v/>
      </c>
      <c r="Q61" t="str">
        <f>IFERROR(OpeningInventories[[#This Row],[SIO2_INSITU_WTAVG]],"")</f>
        <v/>
      </c>
      <c r="R61" t="str">
        <f>IFERROR(OpeningInventories[[#This Row],[AL2O3_INSITU_WTAVG]],"")</f>
        <v/>
      </c>
      <c r="S61" t="str">
        <f>IFERROR(OpeningInventories[[#This Row],[P_INSITU_WTAVG]],"")</f>
        <v/>
      </c>
      <c r="T61" t="str">
        <f>IFERROR(OpeningInventories[[#This Row],[MN_INSITU_WTAVG]],"")</f>
        <v/>
      </c>
    </row>
    <row r="62" spans="1:20" x14ac:dyDescent="0.3">
      <c r="A62" t="str">
        <f>IFERROR(OpeningInventories[[#This Row],[STOCKPILENAME]],"")</f>
        <v/>
      </c>
      <c r="B62" t="str">
        <f>IFERROR(OpeningInventories[[#This Row],[BALANCEWMT]],"")</f>
        <v/>
      </c>
      <c r="C62" t="str">
        <f>IFERROR(OpeningInventories[[#This Row],[TRANSACTIONDIRECTION]],"")</f>
        <v/>
      </c>
      <c r="P62" t="str">
        <f>IFERROR(OpeningInventories[[#This Row],[FE_INSITU_WTAVG]],"")</f>
        <v/>
      </c>
      <c r="Q62" t="str">
        <f>IFERROR(OpeningInventories[[#This Row],[SIO2_INSITU_WTAVG]],"")</f>
        <v/>
      </c>
      <c r="R62" t="str">
        <f>IFERROR(OpeningInventories[[#This Row],[AL2O3_INSITU_WTAVG]],"")</f>
        <v/>
      </c>
      <c r="S62" t="str">
        <f>IFERROR(OpeningInventories[[#This Row],[P_INSITU_WTAVG]],"")</f>
        <v/>
      </c>
      <c r="T62" t="str">
        <f>IFERROR(OpeningInventories[[#This Row],[MN_INSITU_WTAVG]],"")</f>
        <v/>
      </c>
    </row>
    <row r="63" spans="1:20" x14ac:dyDescent="0.3">
      <c r="A63" t="str">
        <f>IFERROR(OpeningInventories[[#This Row],[STOCKPILENAME]],"")</f>
        <v/>
      </c>
      <c r="B63" t="str">
        <f>IFERROR(OpeningInventories[[#This Row],[BALANCEWMT]],"")</f>
        <v/>
      </c>
      <c r="C63" t="str">
        <f>IFERROR(OpeningInventories[[#This Row],[TRANSACTIONDIRECTION]],"")</f>
        <v/>
      </c>
      <c r="P63" t="str">
        <f>IFERROR(OpeningInventories[[#This Row],[FE_INSITU_WTAVG]],"")</f>
        <v/>
      </c>
      <c r="Q63" t="str">
        <f>IFERROR(OpeningInventories[[#This Row],[SIO2_INSITU_WTAVG]],"")</f>
        <v/>
      </c>
      <c r="R63" t="str">
        <f>IFERROR(OpeningInventories[[#This Row],[AL2O3_INSITU_WTAVG]],"")</f>
        <v/>
      </c>
      <c r="S63" t="str">
        <f>IFERROR(OpeningInventories[[#This Row],[P_INSITU_WTAVG]],"")</f>
        <v/>
      </c>
      <c r="T63" t="str">
        <f>IFERROR(OpeningInventories[[#This Row],[MN_INSITU_WTAVG]],"")</f>
        <v/>
      </c>
    </row>
    <row r="64" spans="1:20" x14ac:dyDescent="0.3">
      <c r="A64" t="str">
        <f>IFERROR(OpeningInventories[[#This Row],[STOCKPILENAME]],"")</f>
        <v/>
      </c>
      <c r="B64" t="str">
        <f>IFERROR(OpeningInventories[[#This Row],[BALANCEWMT]],"")</f>
        <v/>
      </c>
      <c r="C64" t="str">
        <f>IFERROR(OpeningInventories[[#This Row],[TRANSACTIONDIRECTION]],"")</f>
        <v/>
      </c>
      <c r="P64" t="str">
        <f>IFERROR(OpeningInventories[[#This Row],[FE_INSITU_WTAVG]],"")</f>
        <v/>
      </c>
      <c r="Q64" t="str">
        <f>IFERROR(OpeningInventories[[#This Row],[SIO2_INSITU_WTAVG]],"")</f>
        <v/>
      </c>
      <c r="R64" t="str">
        <f>IFERROR(OpeningInventories[[#This Row],[AL2O3_INSITU_WTAVG]],"")</f>
        <v/>
      </c>
      <c r="S64" t="str">
        <f>IFERROR(OpeningInventories[[#This Row],[P_INSITU_WTAVG]],"")</f>
        <v/>
      </c>
      <c r="T64" t="str">
        <f>IFERROR(OpeningInventories[[#This Row],[MN_INSITU_WTAVG]],"")</f>
        <v/>
      </c>
    </row>
    <row r="65" spans="1:20" x14ac:dyDescent="0.3">
      <c r="A65" t="str">
        <f>IFERROR(OpeningInventories[[#This Row],[STOCKPILENAME]],"")</f>
        <v/>
      </c>
      <c r="B65" t="str">
        <f>IFERROR(OpeningInventories[[#This Row],[BALANCEWMT]],"")</f>
        <v/>
      </c>
      <c r="C65" t="str">
        <f>IFERROR(OpeningInventories[[#This Row],[TRANSACTIONDIRECTION]],"")</f>
        <v/>
      </c>
      <c r="P65" t="str">
        <f>IFERROR(OpeningInventories[[#This Row],[FE_INSITU_WTAVG]],"")</f>
        <v/>
      </c>
      <c r="Q65" t="str">
        <f>IFERROR(OpeningInventories[[#This Row],[SIO2_INSITU_WTAVG]],"")</f>
        <v/>
      </c>
      <c r="R65" t="str">
        <f>IFERROR(OpeningInventories[[#This Row],[AL2O3_INSITU_WTAVG]],"")</f>
        <v/>
      </c>
      <c r="S65" t="str">
        <f>IFERROR(OpeningInventories[[#This Row],[P_INSITU_WTAVG]],"")</f>
        <v/>
      </c>
      <c r="T65" t="str">
        <f>IFERROR(OpeningInventories[[#This Row],[MN_INSITU_WTAVG]],"")</f>
        <v/>
      </c>
    </row>
    <row r="66" spans="1:20" x14ac:dyDescent="0.3">
      <c r="A66" t="str">
        <f>IFERROR(OpeningInventories[[#This Row],[STOCKPILENAME]],"")</f>
        <v/>
      </c>
      <c r="B66" t="str">
        <f>IFERROR(OpeningInventories[[#This Row],[BALANCEWMT]],"")</f>
        <v/>
      </c>
      <c r="C66" t="str">
        <f>IFERROR(OpeningInventories[[#This Row],[TRANSACTIONDIRECTION]],"")</f>
        <v/>
      </c>
      <c r="P66" t="str">
        <f>IFERROR(OpeningInventories[[#This Row],[FE_INSITU_WTAVG]],"")</f>
        <v/>
      </c>
      <c r="Q66" t="str">
        <f>IFERROR(OpeningInventories[[#This Row],[SIO2_INSITU_WTAVG]],"")</f>
        <v/>
      </c>
      <c r="R66" t="str">
        <f>IFERROR(OpeningInventories[[#This Row],[AL2O3_INSITU_WTAVG]],"")</f>
        <v/>
      </c>
      <c r="S66" t="str">
        <f>IFERROR(OpeningInventories[[#This Row],[P_INSITU_WTAVG]],"")</f>
        <v/>
      </c>
      <c r="T66" t="str">
        <f>IFERROR(OpeningInventories[[#This Row],[MN_INSITU_WTAVG]],"")</f>
        <v/>
      </c>
    </row>
    <row r="67" spans="1:20" x14ac:dyDescent="0.3">
      <c r="A67" t="str">
        <f>IFERROR(OpeningInventories[[#This Row],[STOCKPILENAME]],"")</f>
        <v/>
      </c>
      <c r="B67" t="str">
        <f>IFERROR(OpeningInventories[[#This Row],[BALANCEWMT]],"")</f>
        <v/>
      </c>
      <c r="C67" t="str">
        <f>IFERROR(OpeningInventories[[#This Row],[TRANSACTIONDIRECTION]],"")</f>
        <v/>
      </c>
      <c r="P67" t="str">
        <f>IFERROR(OpeningInventories[[#This Row],[FE_INSITU_WTAVG]],"")</f>
        <v/>
      </c>
      <c r="Q67" t="str">
        <f>IFERROR(OpeningInventories[[#This Row],[SIO2_INSITU_WTAVG]],"")</f>
        <v/>
      </c>
      <c r="R67" t="str">
        <f>IFERROR(OpeningInventories[[#This Row],[AL2O3_INSITU_WTAVG]],"")</f>
        <v/>
      </c>
      <c r="S67" t="str">
        <f>IFERROR(OpeningInventories[[#This Row],[P_INSITU_WTAVG]],"")</f>
        <v/>
      </c>
      <c r="T67" t="str">
        <f>IFERROR(OpeningInventories[[#This Row],[MN_INSITU_WTAVG]],"")</f>
        <v/>
      </c>
    </row>
    <row r="68" spans="1:20" x14ac:dyDescent="0.3">
      <c r="A68" t="str">
        <f>IFERROR(OpeningInventories[[#This Row],[STOCKPILENAME]],"")</f>
        <v/>
      </c>
      <c r="B68" t="str">
        <f>IFERROR(OpeningInventories[[#This Row],[BALANCEWMT]],"")</f>
        <v/>
      </c>
      <c r="C68" t="str">
        <f>IFERROR(OpeningInventories[[#This Row],[TRANSACTIONDIRECTION]],"")</f>
        <v/>
      </c>
      <c r="P68" t="str">
        <f>IFERROR(OpeningInventories[[#This Row],[FE_INSITU_WTAVG]],"")</f>
        <v/>
      </c>
      <c r="Q68" t="str">
        <f>IFERROR(OpeningInventories[[#This Row],[SIO2_INSITU_WTAVG]],"")</f>
        <v/>
      </c>
      <c r="R68" t="str">
        <f>IFERROR(OpeningInventories[[#This Row],[AL2O3_INSITU_WTAVG]],"")</f>
        <v/>
      </c>
      <c r="S68" t="str">
        <f>IFERROR(OpeningInventories[[#This Row],[P_INSITU_WTAVG]],"")</f>
        <v/>
      </c>
      <c r="T68" t="str">
        <f>IFERROR(OpeningInventories[[#This Row],[MN_INSITU_WTAVG]],"")</f>
        <v/>
      </c>
    </row>
    <row r="69" spans="1:20" x14ac:dyDescent="0.3">
      <c r="A69" t="str">
        <f>IFERROR(OpeningInventories[[#This Row],[STOCKPILENAME]],"")</f>
        <v/>
      </c>
      <c r="B69" t="str">
        <f>IFERROR(OpeningInventories[[#This Row],[BALANCEWMT]],"")</f>
        <v/>
      </c>
      <c r="C69" t="str">
        <f>IFERROR(OpeningInventories[[#This Row],[TRANSACTIONDIRECTION]],"")</f>
        <v/>
      </c>
      <c r="P69" t="str">
        <f>IFERROR(OpeningInventories[[#This Row],[FE_INSITU_WTAVG]],"")</f>
        <v/>
      </c>
      <c r="Q69" t="str">
        <f>IFERROR(OpeningInventories[[#This Row],[SIO2_INSITU_WTAVG]],"")</f>
        <v/>
      </c>
      <c r="R69" t="str">
        <f>IFERROR(OpeningInventories[[#This Row],[AL2O3_INSITU_WTAVG]],"")</f>
        <v/>
      </c>
      <c r="S69" t="str">
        <f>IFERROR(OpeningInventories[[#This Row],[P_INSITU_WTAVG]],"")</f>
        <v/>
      </c>
      <c r="T69" t="str">
        <f>IFERROR(OpeningInventories[[#This Row],[MN_INSITU_WTAVG]],"")</f>
        <v/>
      </c>
    </row>
    <row r="70" spans="1:20" x14ac:dyDescent="0.3">
      <c r="A70" t="str">
        <f>IFERROR(OpeningInventories[[#This Row],[STOCKPILENAME]],"")</f>
        <v/>
      </c>
      <c r="B70" t="str">
        <f>IFERROR(OpeningInventories[[#This Row],[BALANCEWMT]],"")</f>
        <v/>
      </c>
      <c r="C70" t="str">
        <f>IFERROR(OpeningInventories[[#This Row],[TRANSACTIONDIRECTION]],"")</f>
        <v/>
      </c>
      <c r="P70" t="str">
        <f>IFERROR(OpeningInventories[[#This Row],[FE_INSITU_WTAVG]],"")</f>
        <v/>
      </c>
      <c r="Q70" t="str">
        <f>IFERROR(OpeningInventories[[#This Row],[SIO2_INSITU_WTAVG]],"")</f>
        <v/>
      </c>
      <c r="R70" t="str">
        <f>IFERROR(OpeningInventories[[#This Row],[AL2O3_INSITU_WTAVG]],"")</f>
        <v/>
      </c>
      <c r="S70" t="str">
        <f>IFERROR(OpeningInventories[[#This Row],[P_INSITU_WTAVG]],"")</f>
        <v/>
      </c>
      <c r="T70" t="str">
        <f>IFERROR(OpeningInventories[[#This Row],[MN_INSITU_WTAVG]],"")</f>
        <v/>
      </c>
    </row>
    <row r="71" spans="1:20" x14ac:dyDescent="0.3">
      <c r="A71" t="str">
        <f>IFERROR(OpeningInventories[[#This Row],[STOCKPILENAME]],"")</f>
        <v/>
      </c>
      <c r="B71" t="str">
        <f>IFERROR(OpeningInventories[[#This Row],[BALANCEWMT]],"")</f>
        <v/>
      </c>
      <c r="C71" t="str">
        <f>IFERROR(OpeningInventories[[#This Row],[TRANSACTIONDIRECTION]],"")</f>
        <v/>
      </c>
      <c r="P71" t="str">
        <f>IFERROR(OpeningInventories[[#This Row],[FE_INSITU_WTAVG]],"")</f>
        <v/>
      </c>
      <c r="Q71" t="str">
        <f>IFERROR(OpeningInventories[[#This Row],[SIO2_INSITU_WTAVG]],"")</f>
        <v/>
      </c>
      <c r="R71" t="str">
        <f>IFERROR(OpeningInventories[[#This Row],[AL2O3_INSITU_WTAVG]],"")</f>
        <v/>
      </c>
      <c r="S71" t="str">
        <f>IFERROR(OpeningInventories[[#This Row],[P_INSITU_WTAVG]],"")</f>
        <v/>
      </c>
      <c r="T71" t="str">
        <f>IFERROR(OpeningInventories[[#This Row],[MN_INSITU_WTAVG]],"")</f>
        <v/>
      </c>
    </row>
    <row r="72" spans="1:20" x14ac:dyDescent="0.3">
      <c r="A72" t="str">
        <f>IFERROR(OpeningInventories[[#This Row],[STOCKPILENAME]],"")</f>
        <v/>
      </c>
      <c r="B72" t="str">
        <f>IFERROR(OpeningInventories[[#This Row],[BALANCEWMT]],"")</f>
        <v/>
      </c>
      <c r="C72" t="str">
        <f>IFERROR(OpeningInventories[[#This Row],[TRANSACTIONDIRECTION]],"")</f>
        <v/>
      </c>
      <c r="P72" t="str">
        <f>IFERROR(OpeningInventories[[#This Row],[FE_INSITU_WTAVG]],"")</f>
        <v/>
      </c>
      <c r="Q72" t="str">
        <f>IFERROR(OpeningInventories[[#This Row],[SIO2_INSITU_WTAVG]],"")</f>
        <v/>
      </c>
      <c r="R72" t="str">
        <f>IFERROR(OpeningInventories[[#This Row],[AL2O3_INSITU_WTAVG]],"")</f>
        <v/>
      </c>
      <c r="S72" t="str">
        <f>IFERROR(OpeningInventories[[#This Row],[P_INSITU_WTAVG]],"")</f>
        <v/>
      </c>
      <c r="T72" t="str">
        <f>IFERROR(OpeningInventories[[#This Row],[MN_INSITU_WTAVG]],"")</f>
        <v/>
      </c>
    </row>
    <row r="73" spans="1:20" x14ac:dyDescent="0.3">
      <c r="A73" t="str">
        <f>IFERROR(OpeningInventories[[#This Row],[STOCKPILENAME]],"")</f>
        <v/>
      </c>
      <c r="B73" t="str">
        <f>IFERROR(OpeningInventories[[#This Row],[BALANCEWMT]],"")</f>
        <v/>
      </c>
      <c r="C73" t="str">
        <f>IFERROR(OpeningInventories[[#This Row],[TRANSACTIONDIRECTION]],"")</f>
        <v/>
      </c>
      <c r="P73" t="str">
        <f>IFERROR(OpeningInventories[[#This Row],[FE_INSITU_WTAVG]],"")</f>
        <v/>
      </c>
      <c r="Q73" t="str">
        <f>IFERROR(OpeningInventories[[#This Row],[SIO2_INSITU_WTAVG]],"")</f>
        <v/>
      </c>
      <c r="R73" t="str">
        <f>IFERROR(OpeningInventories[[#This Row],[AL2O3_INSITU_WTAVG]],"")</f>
        <v/>
      </c>
      <c r="S73" t="str">
        <f>IFERROR(OpeningInventories[[#This Row],[P_INSITU_WTAVG]],"")</f>
        <v/>
      </c>
      <c r="T73" t="str">
        <f>IFERROR(OpeningInventories[[#This Row],[MN_INSITU_WTAVG]],"")</f>
        <v/>
      </c>
    </row>
    <row r="74" spans="1:20" x14ac:dyDescent="0.3">
      <c r="A74" t="str">
        <f>IFERROR(OpeningInventories[[#This Row],[STOCKPILENAME]],"")</f>
        <v/>
      </c>
      <c r="B74" t="str">
        <f>IFERROR(OpeningInventories[[#This Row],[BALANCEWMT]],"")</f>
        <v/>
      </c>
      <c r="C74" t="str">
        <f>IFERROR(OpeningInventories[[#This Row],[TRANSACTIONDIRECTION]],"")</f>
        <v/>
      </c>
      <c r="P74" t="str">
        <f>IFERROR(OpeningInventories[[#This Row],[FE_INSITU_WTAVG]],"")</f>
        <v/>
      </c>
      <c r="Q74" t="str">
        <f>IFERROR(OpeningInventories[[#This Row],[SIO2_INSITU_WTAVG]],"")</f>
        <v/>
      </c>
      <c r="R74" t="str">
        <f>IFERROR(OpeningInventories[[#This Row],[AL2O3_INSITU_WTAVG]],"")</f>
        <v/>
      </c>
      <c r="S74" t="str">
        <f>IFERROR(OpeningInventories[[#This Row],[P_INSITU_WTAVG]],"")</f>
        <v/>
      </c>
      <c r="T74" t="str">
        <f>IFERROR(OpeningInventories[[#This Row],[MN_INSITU_WTAVG]],"")</f>
        <v/>
      </c>
    </row>
    <row r="75" spans="1:20" x14ac:dyDescent="0.3">
      <c r="A75" t="str">
        <f>IFERROR(OpeningInventories[[#This Row],[STOCKPILENAME]],"")</f>
        <v/>
      </c>
      <c r="B75" t="str">
        <f>IFERROR(OpeningInventories[[#This Row],[BALANCEWMT]],"")</f>
        <v/>
      </c>
      <c r="C75" t="str">
        <f>IFERROR(OpeningInventories[[#This Row],[TRANSACTIONDIRECTION]],"")</f>
        <v/>
      </c>
      <c r="P75" t="str">
        <f>IFERROR(OpeningInventories[[#This Row],[FE_INSITU_WTAVG]],"")</f>
        <v/>
      </c>
      <c r="Q75" t="str">
        <f>IFERROR(OpeningInventories[[#This Row],[SIO2_INSITU_WTAVG]],"")</f>
        <v/>
      </c>
      <c r="R75" t="str">
        <f>IFERROR(OpeningInventories[[#This Row],[AL2O3_INSITU_WTAVG]],"")</f>
        <v/>
      </c>
      <c r="S75" t="str">
        <f>IFERROR(OpeningInventories[[#This Row],[P_INSITU_WTAVG]],"")</f>
        <v/>
      </c>
      <c r="T75" t="str">
        <f>IFERROR(OpeningInventories[[#This Row],[MN_INSITU_WTAVG]],"")</f>
        <v/>
      </c>
    </row>
    <row r="76" spans="1:20" x14ac:dyDescent="0.3">
      <c r="A76" t="str">
        <f>IFERROR(OpeningInventories[[#This Row],[STOCKPILENAME]],"")</f>
        <v/>
      </c>
      <c r="B76" t="str">
        <f>IFERROR(OpeningInventories[[#This Row],[BALANCEWMT]],"")</f>
        <v/>
      </c>
      <c r="C76" t="str">
        <f>IFERROR(OpeningInventories[[#This Row],[TRANSACTIONDIRECTION]],"")</f>
        <v/>
      </c>
      <c r="P76" t="str">
        <f>IFERROR(OpeningInventories[[#This Row],[FE_INSITU_WTAVG]],"")</f>
        <v/>
      </c>
      <c r="Q76" t="str">
        <f>IFERROR(OpeningInventories[[#This Row],[SIO2_INSITU_WTAVG]],"")</f>
        <v/>
      </c>
      <c r="R76" t="str">
        <f>IFERROR(OpeningInventories[[#This Row],[AL2O3_INSITU_WTAVG]],"")</f>
        <v/>
      </c>
      <c r="S76" t="str">
        <f>IFERROR(OpeningInventories[[#This Row],[P_INSITU_WTAVG]],"")</f>
        <v/>
      </c>
      <c r="T76" t="str">
        <f>IFERROR(OpeningInventories[[#This Row],[MN_INSITU_WTAVG]],"")</f>
        <v/>
      </c>
    </row>
    <row r="77" spans="1:20" x14ac:dyDescent="0.3">
      <c r="A77" t="str">
        <f>IFERROR(OpeningInventories[[#This Row],[STOCKPILENAME]],"")</f>
        <v/>
      </c>
      <c r="B77" t="str">
        <f>IFERROR(OpeningInventories[[#This Row],[BALANCEWMT]],"")</f>
        <v/>
      </c>
      <c r="C77" t="str">
        <f>IFERROR(OpeningInventories[[#This Row],[TRANSACTIONDIRECTION]],"")</f>
        <v/>
      </c>
      <c r="P77" t="str">
        <f>IFERROR(OpeningInventories[[#This Row],[FE_INSITU_WTAVG]],"")</f>
        <v/>
      </c>
      <c r="Q77" t="str">
        <f>IFERROR(OpeningInventories[[#This Row],[SIO2_INSITU_WTAVG]],"")</f>
        <v/>
      </c>
      <c r="R77" t="str">
        <f>IFERROR(OpeningInventories[[#This Row],[AL2O3_INSITU_WTAVG]],"")</f>
        <v/>
      </c>
      <c r="S77" t="str">
        <f>IFERROR(OpeningInventories[[#This Row],[P_INSITU_WTAVG]],"")</f>
        <v/>
      </c>
      <c r="T77" t="str">
        <f>IFERROR(OpeningInventories[[#This Row],[MN_INSITU_WTAVG]],"")</f>
        <v/>
      </c>
    </row>
    <row r="78" spans="1:20" x14ac:dyDescent="0.3">
      <c r="A78" t="str">
        <f>IFERROR(OpeningInventories[[#This Row],[STOCKPILENAME]],"")</f>
        <v/>
      </c>
      <c r="B78" t="str">
        <f>IFERROR(OpeningInventories[[#This Row],[BALANCEWMT]],"")</f>
        <v/>
      </c>
      <c r="C78" t="str">
        <f>IFERROR(OpeningInventories[[#This Row],[TRANSACTIONDIRECTION]],"")</f>
        <v/>
      </c>
      <c r="P78" t="str">
        <f>IFERROR(OpeningInventories[[#This Row],[FE_INSITU_WTAVG]],"")</f>
        <v/>
      </c>
      <c r="Q78" t="str">
        <f>IFERROR(OpeningInventories[[#This Row],[SIO2_INSITU_WTAVG]],"")</f>
        <v/>
      </c>
      <c r="R78" t="str">
        <f>IFERROR(OpeningInventories[[#This Row],[AL2O3_INSITU_WTAVG]],"")</f>
        <v/>
      </c>
      <c r="S78" t="str">
        <f>IFERROR(OpeningInventories[[#This Row],[P_INSITU_WTAVG]],"")</f>
        <v/>
      </c>
      <c r="T78" t="str">
        <f>IFERROR(OpeningInventories[[#This Row],[MN_INSITU_WTAVG]],"")</f>
        <v/>
      </c>
    </row>
    <row r="79" spans="1:20" x14ac:dyDescent="0.3">
      <c r="A79" t="str">
        <f>IFERROR(OpeningInventories[[#This Row],[STOCKPILENAME]],"")</f>
        <v/>
      </c>
      <c r="B79" t="str">
        <f>IFERROR(OpeningInventories[[#This Row],[BALANCEWMT]],"")</f>
        <v/>
      </c>
      <c r="C79" t="str">
        <f>IFERROR(OpeningInventories[[#This Row],[TRANSACTIONDIRECTION]],"")</f>
        <v/>
      </c>
      <c r="P79" t="str">
        <f>IFERROR(OpeningInventories[[#This Row],[FE_INSITU_WTAVG]],"")</f>
        <v/>
      </c>
      <c r="Q79" t="str">
        <f>IFERROR(OpeningInventories[[#This Row],[SIO2_INSITU_WTAVG]],"")</f>
        <v/>
      </c>
      <c r="R79" t="str">
        <f>IFERROR(OpeningInventories[[#This Row],[AL2O3_INSITU_WTAVG]],"")</f>
        <v/>
      </c>
      <c r="S79" t="str">
        <f>IFERROR(OpeningInventories[[#This Row],[P_INSITU_WTAVG]],"")</f>
        <v/>
      </c>
      <c r="T79" t="str">
        <f>IFERROR(OpeningInventories[[#This Row],[MN_INSITU_WTAVG]],"")</f>
        <v/>
      </c>
    </row>
    <row r="80" spans="1:20" x14ac:dyDescent="0.3">
      <c r="A80" t="str">
        <f>IFERROR(OpeningInventories[[#This Row],[STOCKPILENAME]],"")</f>
        <v/>
      </c>
      <c r="B80" t="str">
        <f>IFERROR(OpeningInventories[[#This Row],[BALANCEWMT]],"")</f>
        <v/>
      </c>
      <c r="C80" t="str">
        <f>IFERROR(OpeningInventories[[#This Row],[TRANSACTIONDIRECTION]],"")</f>
        <v/>
      </c>
      <c r="P80" t="str">
        <f>IFERROR(OpeningInventories[[#This Row],[FE_INSITU_WTAVG]],"")</f>
        <v/>
      </c>
      <c r="Q80" t="str">
        <f>IFERROR(OpeningInventories[[#This Row],[SIO2_INSITU_WTAVG]],"")</f>
        <v/>
      </c>
      <c r="R80" t="str">
        <f>IFERROR(OpeningInventories[[#This Row],[AL2O3_INSITU_WTAVG]],"")</f>
        <v/>
      </c>
      <c r="S80" t="str">
        <f>IFERROR(OpeningInventories[[#This Row],[P_INSITU_WTAVG]],"")</f>
        <v/>
      </c>
      <c r="T80" t="str">
        <f>IFERROR(OpeningInventories[[#This Row],[MN_INSITU_WTAVG]],"")</f>
        <v/>
      </c>
    </row>
    <row r="81" spans="1:20" x14ac:dyDescent="0.3">
      <c r="A81" t="str">
        <f>IFERROR(OpeningInventories[[#This Row],[STOCKPILENAME]],"")</f>
        <v/>
      </c>
      <c r="B81" t="str">
        <f>IFERROR(OpeningInventories[[#This Row],[BALANCEWMT]],"")</f>
        <v/>
      </c>
      <c r="C81" t="str">
        <f>IFERROR(OpeningInventories[[#This Row],[TRANSACTIONDIRECTION]],"")</f>
        <v/>
      </c>
      <c r="P81" t="str">
        <f>IFERROR(OpeningInventories[[#This Row],[FE_INSITU_WTAVG]],"")</f>
        <v/>
      </c>
      <c r="Q81" t="str">
        <f>IFERROR(OpeningInventories[[#This Row],[SIO2_INSITU_WTAVG]],"")</f>
        <v/>
      </c>
      <c r="R81" t="str">
        <f>IFERROR(OpeningInventories[[#This Row],[AL2O3_INSITU_WTAVG]],"")</f>
        <v/>
      </c>
      <c r="S81" t="str">
        <f>IFERROR(OpeningInventories[[#This Row],[P_INSITU_WTAVG]],"")</f>
        <v/>
      </c>
      <c r="T81" t="str">
        <f>IFERROR(OpeningInventories[[#This Row],[MN_INSITU_WTAVG]],"")</f>
        <v/>
      </c>
    </row>
    <row r="82" spans="1:20" x14ac:dyDescent="0.3">
      <c r="A82" t="str">
        <f>IFERROR(OpeningInventories[[#This Row],[STOCKPILENAME]],"")</f>
        <v/>
      </c>
      <c r="B82" t="str">
        <f>IFERROR(OpeningInventories[[#This Row],[BALANCEWMT]],"")</f>
        <v/>
      </c>
      <c r="C82" t="str">
        <f>IFERROR(OpeningInventories[[#This Row],[TRANSACTIONDIRECTION]],"")</f>
        <v/>
      </c>
      <c r="P82" t="str">
        <f>IFERROR(OpeningInventories[[#This Row],[FE_INSITU_WTAVG]],"")</f>
        <v/>
      </c>
      <c r="Q82" t="str">
        <f>IFERROR(OpeningInventories[[#This Row],[SIO2_INSITU_WTAVG]],"")</f>
        <v/>
      </c>
      <c r="R82" t="str">
        <f>IFERROR(OpeningInventories[[#This Row],[AL2O3_INSITU_WTAVG]],"")</f>
        <v/>
      </c>
      <c r="S82" t="str">
        <f>IFERROR(OpeningInventories[[#This Row],[P_INSITU_WTAVG]],"")</f>
        <v/>
      </c>
      <c r="T82" t="str">
        <f>IFERROR(OpeningInventories[[#This Row],[MN_INSITU_WTAVG]],"")</f>
        <v/>
      </c>
    </row>
    <row r="83" spans="1:20" x14ac:dyDescent="0.3">
      <c r="A83" t="str">
        <f>IFERROR(OpeningInventories[[#This Row],[STOCKPILENAME]],"")</f>
        <v/>
      </c>
      <c r="B83" t="str">
        <f>IFERROR(OpeningInventories[[#This Row],[BALANCEWMT]],"")</f>
        <v/>
      </c>
      <c r="C83" t="str">
        <f>IFERROR(OpeningInventories[[#This Row],[TRANSACTIONDIRECTION]],"")</f>
        <v/>
      </c>
      <c r="P83" t="str">
        <f>IFERROR(OpeningInventories[[#This Row],[FE_INSITU_WTAVG]],"")</f>
        <v/>
      </c>
      <c r="Q83" t="str">
        <f>IFERROR(OpeningInventories[[#This Row],[SIO2_INSITU_WTAVG]],"")</f>
        <v/>
      </c>
      <c r="R83" t="str">
        <f>IFERROR(OpeningInventories[[#This Row],[AL2O3_INSITU_WTAVG]],"")</f>
        <v/>
      </c>
      <c r="S83" t="str">
        <f>IFERROR(OpeningInventories[[#This Row],[P_INSITU_WTAVG]],"")</f>
        <v/>
      </c>
      <c r="T83" t="str">
        <f>IFERROR(OpeningInventories[[#This Row],[MN_INSITU_WTAVG]],"")</f>
        <v/>
      </c>
    </row>
    <row r="84" spans="1:20" x14ac:dyDescent="0.3">
      <c r="A84" t="str">
        <f>IFERROR(OpeningInventories[[#This Row],[STOCKPILENAME]],"")</f>
        <v/>
      </c>
      <c r="B84" t="str">
        <f>IFERROR(OpeningInventories[[#This Row],[BALANCEWMT]],"")</f>
        <v/>
      </c>
      <c r="C84" t="str">
        <f>IFERROR(OpeningInventories[[#This Row],[TRANSACTIONDIRECTION]],"")</f>
        <v/>
      </c>
      <c r="P84" t="str">
        <f>IFERROR(OpeningInventories[[#This Row],[FE_INSITU_WTAVG]],"")</f>
        <v/>
      </c>
      <c r="Q84" t="str">
        <f>IFERROR(OpeningInventories[[#This Row],[SIO2_INSITU_WTAVG]],"")</f>
        <v/>
      </c>
      <c r="R84" t="str">
        <f>IFERROR(OpeningInventories[[#This Row],[AL2O3_INSITU_WTAVG]],"")</f>
        <v/>
      </c>
      <c r="S84" t="str">
        <f>IFERROR(OpeningInventories[[#This Row],[P_INSITU_WTAVG]],"")</f>
        <v/>
      </c>
      <c r="T84" t="str">
        <f>IFERROR(OpeningInventories[[#This Row],[MN_INSITU_WTAVG]],"")</f>
        <v/>
      </c>
    </row>
    <row r="85" spans="1:20" x14ac:dyDescent="0.3">
      <c r="A85" t="str">
        <f>IFERROR(OpeningInventories[[#This Row],[STOCKPILENAME]],"")</f>
        <v/>
      </c>
      <c r="B85" t="str">
        <f>IFERROR(OpeningInventories[[#This Row],[BALANCEWMT]],"")</f>
        <v/>
      </c>
      <c r="C85" t="str">
        <f>IFERROR(OpeningInventories[[#This Row],[TRANSACTIONDIRECTION]],"")</f>
        <v/>
      </c>
      <c r="P85" t="str">
        <f>IFERROR(OpeningInventories[[#This Row],[FE_INSITU_WTAVG]],"")</f>
        <v/>
      </c>
      <c r="Q85" t="str">
        <f>IFERROR(OpeningInventories[[#This Row],[SIO2_INSITU_WTAVG]],"")</f>
        <v/>
      </c>
      <c r="R85" t="str">
        <f>IFERROR(OpeningInventories[[#This Row],[AL2O3_INSITU_WTAVG]],"")</f>
        <v/>
      </c>
      <c r="S85" t="str">
        <f>IFERROR(OpeningInventories[[#This Row],[P_INSITU_WTAVG]],"")</f>
        <v/>
      </c>
      <c r="T85" t="str">
        <f>IFERROR(OpeningInventories[[#This Row],[MN_INSITU_WTAVG]],"")</f>
        <v/>
      </c>
    </row>
    <row r="86" spans="1:20" x14ac:dyDescent="0.3">
      <c r="A86" t="str">
        <f>IFERROR(OpeningInventories[[#This Row],[STOCKPILENAME]],"")</f>
        <v/>
      </c>
      <c r="B86" t="str">
        <f>IFERROR(OpeningInventories[[#This Row],[BALANCEWMT]],"")</f>
        <v/>
      </c>
      <c r="C86" t="str">
        <f>IFERROR(OpeningInventories[[#This Row],[TRANSACTIONDIRECTION]],"")</f>
        <v/>
      </c>
      <c r="P86" t="str">
        <f>IFERROR(OpeningInventories[[#This Row],[FE_INSITU_WTAVG]],"")</f>
        <v/>
      </c>
      <c r="Q86" t="str">
        <f>IFERROR(OpeningInventories[[#This Row],[SIO2_INSITU_WTAVG]],"")</f>
        <v/>
      </c>
      <c r="R86" t="str">
        <f>IFERROR(OpeningInventories[[#This Row],[AL2O3_INSITU_WTAVG]],"")</f>
        <v/>
      </c>
      <c r="S86" t="str">
        <f>IFERROR(OpeningInventories[[#This Row],[P_INSITU_WTAVG]],"")</f>
        <v/>
      </c>
      <c r="T86" t="str">
        <f>IFERROR(OpeningInventories[[#This Row],[MN_INSITU_WTAVG]],"")</f>
        <v/>
      </c>
    </row>
    <row r="87" spans="1:20" x14ac:dyDescent="0.3">
      <c r="A87" t="str">
        <f>IFERROR(OpeningInventories[[#This Row],[STOCKPILENAME]],"")</f>
        <v/>
      </c>
      <c r="B87" t="str">
        <f>IFERROR(OpeningInventories[[#This Row],[BALANCEWMT]],"")</f>
        <v/>
      </c>
      <c r="C87" t="str">
        <f>IFERROR(OpeningInventories[[#This Row],[TRANSACTIONDIRECTION]],"")</f>
        <v/>
      </c>
      <c r="P87" t="str">
        <f>IFERROR(OpeningInventories[[#This Row],[FE_INSITU_WTAVG]],"")</f>
        <v/>
      </c>
      <c r="Q87" t="str">
        <f>IFERROR(OpeningInventories[[#This Row],[SIO2_INSITU_WTAVG]],"")</f>
        <v/>
      </c>
      <c r="R87" t="str">
        <f>IFERROR(OpeningInventories[[#This Row],[AL2O3_INSITU_WTAVG]],"")</f>
        <v/>
      </c>
      <c r="S87" t="str">
        <f>IFERROR(OpeningInventories[[#This Row],[P_INSITU_WTAVG]],"")</f>
        <v/>
      </c>
      <c r="T87" t="str">
        <f>IFERROR(OpeningInventories[[#This Row],[MN_INSITU_WTAVG]],"")</f>
        <v/>
      </c>
    </row>
    <row r="88" spans="1:20" x14ac:dyDescent="0.3">
      <c r="A88" t="str">
        <f>IFERROR(OpeningInventories[[#This Row],[STOCKPILENAME]],"")</f>
        <v/>
      </c>
      <c r="B88" t="str">
        <f>IFERROR(OpeningInventories[[#This Row],[BALANCEWMT]],"")</f>
        <v/>
      </c>
      <c r="C88" t="str">
        <f>IFERROR(OpeningInventories[[#This Row],[TRANSACTIONDIRECTION]],"")</f>
        <v/>
      </c>
      <c r="P88" t="str">
        <f>IFERROR(OpeningInventories[[#This Row],[FE_INSITU_WTAVG]],"")</f>
        <v/>
      </c>
      <c r="Q88" t="str">
        <f>IFERROR(OpeningInventories[[#This Row],[SIO2_INSITU_WTAVG]],"")</f>
        <v/>
      </c>
      <c r="R88" t="str">
        <f>IFERROR(OpeningInventories[[#This Row],[AL2O3_INSITU_WTAVG]],"")</f>
        <v/>
      </c>
      <c r="S88" t="str">
        <f>IFERROR(OpeningInventories[[#This Row],[P_INSITU_WTAVG]],"")</f>
        <v/>
      </c>
      <c r="T88" t="str">
        <f>IFERROR(OpeningInventories[[#This Row],[MN_INSITU_WTAVG]],"")</f>
        <v/>
      </c>
    </row>
    <row r="89" spans="1:20" x14ac:dyDescent="0.3">
      <c r="A89" t="str">
        <f>IFERROR(OpeningInventories[[#This Row],[STOCKPILENAME]],"")</f>
        <v/>
      </c>
      <c r="B89" t="str">
        <f>IFERROR(OpeningInventories[[#This Row],[BALANCEWMT]],"")</f>
        <v/>
      </c>
      <c r="C89" t="str">
        <f>IFERROR(OpeningInventories[[#This Row],[TRANSACTIONDIRECTION]],"")</f>
        <v/>
      </c>
      <c r="P89" t="str">
        <f>IFERROR(OpeningInventories[[#This Row],[FE_INSITU_WTAVG]],"")</f>
        <v/>
      </c>
      <c r="Q89" t="str">
        <f>IFERROR(OpeningInventories[[#This Row],[SIO2_INSITU_WTAVG]],"")</f>
        <v/>
      </c>
      <c r="R89" t="str">
        <f>IFERROR(OpeningInventories[[#This Row],[AL2O3_INSITU_WTAVG]],"")</f>
        <v/>
      </c>
      <c r="S89" t="str">
        <f>IFERROR(OpeningInventories[[#This Row],[P_INSITU_WTAVG]],"")</f>
        <v/>
      </c>
      <c r="T89" t="str">
        <f>IFERROR(OpeningInventories[[#This Row],[MN_INSITU_WTAVG]],"")</f>
        <v/>
      </c>
    </row>
    <row r="90" spans="1:20" x14ac:dyDescent="0.3">
      <c r="A90" t="str">
        <f>IFERROR(OpeningInventories[[#This Row],[STOCKPILENAME]],"")</f>
        <v/>
      </c>
      <c r="B90" t="str">
        <f>IFERROR(OpeningInventories[[#This Row],[BALANCEWMT]],"")</f>
        <v/>
      </c>
      <c r="C90" t="str">
        <f>IFERROR(OpeningInventories[[#This Row],[TRANSACTIONDIRECTION]],"")</f>
        <v/>
      </c>
      <c r="P90" t="str">
        <f>IFERROR(OpeningInventories[[#This Row],[FE_INSITU_WTAVG]],"")</f>
        <v/>
      </c>
      <c r="Q90" t="str">
        <f>IFERROR(OpeningInventories[[#This Row],[SIO2_INSITU_WTAVG]],"")</f>
        <v/>
      </c>
      <c r="R90" t="str">
        <f>IFERROR(OpeningInventories[[#This Row],[AL2O3_INSITU_WTAVG]],"")</f>
        <v/>
      </c>
      <c r="S90" t="str">
        <f>IFERROR(OpeningInventories[[#This Row],[P_INSITU_WTAVG]],"")</f>
        <v/>
      </c>
      <c r="T90" t="str">
        <f>IFERROR(OpeningInventories[[#This Row],[MN_INSITU_WTAVG]],"")</f>
        <v/>
      </c>
    </row>
    <row r="91" spans="1:20" x14ac:dyDescent="0.3">
      <c r="A91" t="str">
        <f>IFERROR(OpeningInventories[[#This Row],[STOCKPILENAME]],"")</f>
        <v/>
      </c>
      <c r="B91" t="str">
        <f>IFERROR(OpeningInventories[[#This Row],[BALANCEWMT]],"")</f>
        <v/>
      </c>
      <c r="C91" t="str">
        <f>IFERROR(OpeningInventories[[#This Row],[TRANSACTIONDIRECTION]],"")</f>
        <v/>
      </c>
      <c r="P91" t="str">
        <f>IFERROR(OpeningInventories[[#This Row],[FE_INSITU_WTAVG]],"")</f>
        <v/>
      </c>
      <c r="Q91" t="str">
        <f>IFERROR(OpeningInventories[[#This Row],[SIO2_INSITU_WTAVG]],"")</f>
        <v/>
      </c>
      <c r="R91" t="str">
        <f>IFERROR(OpeningInventories[[#This Row],[AL2O3_INSITU_WTAVG]],"")</f>
        <v/>
      </c>
      <c r="S91" t="str">
        <f>IFERROR(OpeningInventories[[#This Row],[P_INSITU_WTAVG]],"")</f>
        <v/>
      </c>
      <c r="T91" t="str">
        <f>IFERROR(OpeningInventories[[#This Row],[MN_INSITU_WTAVG]],"")</f>
        <v/>
      </c>
    </row>
    <row r="92" spans="1:20" x14ac:dyDescent="0.3">
      <c r="A92" t="str">
        <f>IFERROR(OpeningInventories[[#This Row],[STOCKPILENAME]],"")</f>
        <v/>
      </c>
      <c r="B92" t="str">
        <f>IFERROR(OpeningInventories[[#This Row],[BALANCEWMT]],"")</f>
        <v/>
      </c>
      <c r="C92" t="str">
        <f>IFERROR(OpeningInventories[[#This Row],[TRANSACTIONDIRECTION]],"")</f>
        <v/>
      </c>
      <c r="P92" t="str">
        <f>IFERROR(OpeningInventories[[#This Row],[FE_INSITU_WTAVG]],"")</f>
        <v/>
      </c>
      <c r="Q92" t="str">
        <f>IFERROR(OpeningInventories[[#This Row],[SIO2_INSITU_WTAVG]],"")</f>
        <v/>
      </c>
      <c r="R92" t="str">
        <f>IFERROR(OpeningInventories[[#This Row],[AL2O3_INSITU_WTAVG]],"")</f>
        <v/>
      </c>
      <c r="S92" t="str">
        <f>IFERROR(OpeningInventories[[#This Row],[P_INSITU_WTAVG]],"")</f>
        <v/>
      </c>
      <c r="T92" t="str">
        <f>IFERROR(OpeningInventories[[#This Row],[MN_INSITU_WTAVG]],"")</f>
        <v/>
      </c>
    </row>
    <row r="93" spans="1:20" x14ac:dyDescent="0.3">
      <c r="A93" t="str">
        <f>IFERROR(OpeningInventories[[#This Row],[STOCKPILENAME]],"")</f>
        <v/>
      </c>
      <c r="B93" t="str">
        <f>IFERROR(OpeningInventories[[#This Row],[BALANCEWMT]],"")</f>
        <v/>
      </c>
      <c r="C93" t="str">
        <f>IFERROR(OpeningInventories[[#This Row],[TRANSACTIONDIRECTION]],"")</f>
        <v/>
      </c>
      <c r="P93" t="str">
        <f>IFERROR(OpeningInventories[[#This Row],[FE_INSITU_WTAVG]],"")</f>
        <v/>
      </c>
      <c r="Q93" t="str">
        <f>IFERROR(OpeningInventories[[#This Row],[SIO2_INSITU_WTAVG]],"")</f>
        <v/>
      </c>
      <c r="R93" t="str">
        <f>IFERROR(OpeningInventories[[#This Row],[AL2O3_INSITU_WTAVG]],"")</f>
        <v/>
      </c>
      <c r="S93" t="str">
        <f>IFERROR(OpeningInventories[[#This Row],[P_INSITU_WTAVG]],"")</f>
        <v/>
      </c>
      <c r="T93" t="str">
        <f>IFERROR(OpeningInventories[[#This Row],[MN_INSITU_WTAVG]],"")</f>
        <v/>
      </c>
    </row>
    <row r="94" spans="1:20" x14ac:dyDescent="0.3">
      <c r="A94" t="str">
        <f>IFERROR(OpeningInventories[[#This Row],[STOCKPILENAME]],"")</f>
        <v/>
      </c>
      <c r="B94" t="str">
        <f>IFERROR(OpeningInventories[[#This Row],[BALANCEWMT]],"")</f>
        <v/>
      </c>
      <c r="C94" t="str">
        <f>IFERROR(OpeningInventories[[#This Row],[TRANSACTIONDIRECTION]],"")</f>
        <v/>
      </c>
      <c r="P94" t="str">
        <f>IFERROR(OpeningInventories[[#This Row],[FE_INSITU_WTAVG]],"")</f>
        <v/>
      </c>
      <c r="Q94" t="str">
        <f>IFERROR(OpeningInventories[[#This Row],[SIO2_INSITU_WTAVG]],"")</f>
        <v/>
      </c>
      <c r="R94" t="str">
        <f>IFERROR(OpeningInventories[[#This Row],[AL2O3_INSITU_WTAVG]],"")</f>
        <v/>
      </c>
      <c r="S94" t="str">
        <f>IFERROR(OpeningInventories[[#This Row],[P_INSITU_WTAVG]],"")</f>
        <v/>
      </c>
      <c r="T94" t="str">
        <f>IFERROR(OpeningInventories[[#This Row],[MN_INSITU_WTAVG]],"")</f>
        <v/>
      </c>
    </row>
    <row r="95" spans="1:20" x14ac:dyDescent="0.3">
      <c r="A95" t="str">
        <f>IFERROR(OpeningInventories[[#This Row],[STOCKPILENAME]],"")</f>
        <v/>
      </c>
      <c r="B95" t="str">
        <f>IFERROR(OpeningInventories[[#This Row],[BALANCEWMT]],"")</f>
        <v/>
      </c>
      <c r="C95" t="str">
        <f>IFERROR(OpeningInventories[[#This Row],[TRANSACTIONDIRECTION]],"")</f>
        <v/>
      </c>
      <c r="P95" t="str">
        <f>IFERROR(OpeningInventories[[#This Row],[FE_INSITU_WTAVG]],"")</f>
        <v/>
      </c>
      <c r="Q95" t="str">
        <f>IFERROR(OpeningInventories[[#This Row],[SIO2_INSITU_WTAVG]],"")</f>
        <v/>
      </c>
      <c r="R95" t="str">
        <f>IFERROR(OpeningInventories[[#This Row],[AL2O3_INSITU_WTAVG]],"")</f>
        <v/>
      </c>
      <c r="S95" t="str">
        <f>IFERROR(OpeningInventories[[#This Row],[P_INSITU_WTAVG]],"")</f>
        <v/>
      </c>
      <c r="T95" t="str">
        <f>IFERROR(OpeningInventories[[#This Row],[MN_INSITU_WTAVG]],"")</f>
        <v/>
      </c>
    </row>
    <row r="96" spans="1:20" x14ac:dyDescent="0.3">
      <c r="A96" t="str">
        <f>IFERROR(OpeningInventories[[#This Row],[STOCKPILENAME]],"")</f>
        <v/>
      </c>
      <c r="B96" t="str">
        <f>IFERROR(OpeningInventories[[#This Row],[BALANCEWMT]],"")</f>
        <v/>
      </c>
      <c r="C96" t="str">
        <f>IFERROR(OpeningInventories[[#This Row],[TRANSACTIONDIRECTION]],"")</f>
        <v/>
      </c>
      <c r="P96" t="str">
        <f>IFERROR(OpeningInventories[[#This Row],[FE_INSITU_WTAVG]],"")</f>
        <v/>
      </c>
      <c r="Q96" t="str">
        <f>IFERROR(OpeningInventories[[#This Row],[SIO2_INSITU_WTAVG]],"")</f>
        <v/>
      </c>
      <c r="R96" t="str">
        <f>IFERROR(OpeningInventories[[#This Row],[AL2O3_INSITU_WTAVG]],"")</f>
        <v/>
      </c>
      <c r="S96" t="str">
        <f>IFERROR(OpeningInventories[[#This Row],[P_INSITU_WTAVG]],"")</f>
        <v/>
      </c>
      <c r="T96" t="str">
        <f>IFERROR(OpeningInventories[[#This Row],[MN_INSITU_WTAVG]],"")</f>
        <v/>
      </c>
    </row>
    <row r="97" spans="1:20" x14ac:dyDescent="0.3">
      <c r="A97" t="str">
        <f>IFERROR(OpeningInventories[[#This Row],[STOCKPILENAME]],"")</f>
        <v/>
      </c>
      <c r="B97" t="str">
        <f>IFERROR(OpeningInventories[[#This Row],[BALANCEWMT]],"")</f>
        <v/>
      </c>
      <c r="C97" t="str">
        <f>IFERROR(OpeningInventories[[#This Row],[TRANSACTIONDIRECTION]],"")</f>
        <v/>
      </c>
      <c r="P97" t="str">
        <f>IFERROR(OpeningInventories[[#This Row],[FE_INSITU_WTAVG]],"")</f>
        <v/>
      </c>
      <c r="Q97" t="str">
        <f>IFERROR(OpeningInventories[[#This Row],[SIO2_INSITU_WTAVG]],"")</f>
        <v/>
      </c>
      <c r="R97" t="str">
        <f>IFERROR(OpeningInventories[[#This Row],[AL2O3_INSITU_WTAVG]],"")</f>
        <v/>
      </c>
      <c r="S97" t="str">
        <f>IFERROR(OpeningInventories[[#This Row],[P_INSITU_WTAVG]],"")</f>
        <v/>
      </c>
      <c r="T97" t="str">
        <f>IFERROR(OpeningInventories[[#This Row],[MN_INSITU_WTAVG]],"")</f>
        <v/>
      </c>
    </row>
    <row r="98" spans="1:20" x14ac:dyDescent="0.3">
      <c r="A98" t="str">
        <f>IFERROR(OpeningInventories[[#This Row],[STOCKPILENAME]],"")</f>
        <v/>
      </c>
      <c r="B98" t="str">
        <f>IFERROR(OpeningInventories[[#This Row],[BALANCEWMT]],"")</f>
        <v/>
      </c>
      <c r="C98" t="str">
        <f>IFERROR(OpeningInventories[[#This Row],[TRANSACTIONDIRECTION]],"")</f>
        <v/>
      </c>
      <c r="P98" t="str">
        <f>IFERROR(OpeningInventories[[#This Row],[FE_INSITU_WTAVG]],"")</f>
        <v/>
      </c>
      <c r="Q98" t="str">
        <f>IFERROR(OpeningInventories[[#This Row],[SIO2_INSITU_WTAVG]],"")</f>
        <v/>
      </c>
      <c r="R98" t="str">
        <f>IFERROR(OpeningInventories[[#This Row],[AL2O3_INSITU_WTAVG]],"")</f>
        <v/>
      </c>
      <c r="S98" t="str">
        <f>IFERROR(OpeningInventories[[#This Row],[P_INSITU_WTAVG]],"")</f>
        <v/>
      </c>
      <c r="T98" t="str">
        <f>IFERROR(OpeningInventories[[#This Row],[MN_INSITU_WTAVG]],"")</f>
        <v/>
      </c>
    </row>
    <row r="99" spans="1:20" x14ac:dyDescent="0.3">
      <c r="A99" t="str">
        <f>IFERROR(OpeningInventories[[#This Row],[STOCKPILENAME]],"")</f>
        <v/>
      </c>
      <c r="B99" t="str">
        <f>IFERROR(OpeningInventories[[#This Row],[BALANCEWMT]],"")</f>
        <v/>
      </c>
      <c r="C99" t="str">
        <f>IFERROR(OpeningInventories[[#This Row],[TRANSACTIONDIRECTION]],"")</f>
        <v/>
      </c>
      <c r="P99" t="str">
        <f>IFERROR(OpeningInventories[[#This Row],[FE_INSITU_WTAVG]],"")</f>
        <v/>
      </c>
      <c r="Q99" t="str">
        <f>IFERROR(OpeningInventories[[#This Row],[SIO2_INSITU_WTAVG]],"")</f>
        <v/>
      </c>
      <c r="R99" t="str">
        <f>IFERROR(OpeningInventories[[#This Row],[AL2O3_INSITU_WTAVG]],"")</f>
        <v/>
      </c>
      <c r="S99" t="str">
        <f>IFERROR(OpeningInventories[[#This Row],[P_INSITU_WTAVG]],"")</f>
        <v/>
      </c>
      <c r="T99" t="str">
        <f>IFERROR(OpeningInventories[[#This Row],[MN_INSITU_WTAVG]],"")</f>
        <v/>
      </c>
    </row>
    <row r="100" spans="1:20" x14ac:dyDescent="0.3">
      <c r="A100" t="str">
        <f>IFERROR(OpeningInventories[[#This Row],[STOCKPILENAME]],"")</f>
        <v/>
      </c>
      <c r="B100" t="str">
        <f>IFERROR(OpeningInventories[[#This Row],[BALANCEWMT]],"")</f>
        <v/>
      </c>
      <c r="C100" t="str">
        <f>IFERROR(OpeningInventories[[#This Row],[TRANSACTIONDIRECTION]],"")</f>
        <v/>
      </c>
      <c r="P100" t="str">
        <f>IFERROR(OpeningInventories[[#This Row],[FE_INSITU_WTAVG]],"")</f>
        <v/>
      </c>
      <c r="Q100" t="str">
        <f>IFERROR(OpeningInventories[[#This Row],[SIO2_INSITU_WTAVG]],"")</f>
        <v/>
      </c>
      <c r="R100" t="str">
        <f>IFERROR(OpeningInventories[[#This Row],[AL2O3_INSITU_WTAVG]],"")</f>
        <v/>
      </c>
      <c r="S100" t="str">
        <f>IFERROR(OpeningInventories[[#This Row],[P_INSITU_WTAVG]],"")</f>
        <v/>
      </c>
      <c r="T100" t="str">
        <f>IFERROR(OpeningInventories[[#This Row],[MN_INSITU_WTAVG]],"")</f>
        <v/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"/>
  <sheetViews>
    <sheetView workbookViewId="0">
      <selection activeCell="D10" sqref="D10"/>
    </sheetView>
  </sheetViews>
  <sheetFormatPr defaultRowHeight="14.4" x14ac:dyDescent="0.3"/>
  <cols>
    <col min="1" max="1" width="5.5546875" bestFit="1" customWidth="1"/>
    <col min="2" max="2" width="7.44140625" bestFit="1" customWidth="1"/>
    <col min="3" max="3" width="18.5546875" bestFit="1" customWidth="1"/>
    <col min="4" max="5" width="19.33203125" bestFit="1" customWidth="1"/>
    <col min="6" max="6" width="11.33203125" bestFit="1" customWidth="1"/>
    <col min="7" max="8" width="12.109375" bestFit="1" customWidth="1"/>
    <col min="9" max="9" width="11.77734375" bestFit="1" customWidth="1"/>
    <col min="10" max="11" width="12.5546875" bestFit="1" customWidth="1"/>
    <col min="12" max="12" width="9.5546875" bestFit="1" customWidth="1"/>
    <col min="13" max="13" width="7.88671875" bestFit="1" customWidth="1"/>
  </cols>
  <sheetData>
    <row r="1" spans="1:13" x14ac:dyDescent="0.3">
      <c r="A1" t="s">
        <v>0</v>
      </c>
      <c r="B1" t="s">
        <v>1</v>
      </c>
      <c r="C1" t="s">
        <v>29</v>
      </c>
      <c r="D1" t="s">
        <v>30</v>
      </c>
      <c r="E1" t="s">
        <v>31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6</v>
      </c>
      <c r="M1" t="s">
        <v>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9A2A1-2DCE-4D7C-BA32-961CF0873D2E}">
  <dimension ref="A1:N23"/>
  <sheetViews>
    <sheetView workbookViewId="0">
      <selection activeCell="D40" sqref="D40"/>
    </sheetView>
  </sheetViews>
  <sheetFormatPr defaultRowHeight="14.4" x14ac:dyDescent="0.3"/>
  <cols>
    <col min="1" max="1" width="11.77734375" bestFit="1" customWidth="1"/>
    <col min="2" max="2" width="12.88671875" bestFit="1" customWidth="1"/>
    <col min="3" max="3" width="17.21875" bestFit="1" customWidth="1"/>
    <col min="4" max="4" width="26.21875" bestFit="1" customWidth="1"/>
    <col min="5" max="5" width="18.21875" bestFit="1" customWidth="1"/>
    <col min="6" max="6" width="11.77734375" bestFit="1" customWidth="1"/>
    <col min="7" max="7" width="11.88671875" bestFit="1" customWidth="1"/>
    <col min="8" max="8" width="15.77734375" bestFit="1" customWidth="1"/>
    <col min="9" max="9" width="25" bestFit="1" customWidth="1"/>
    <col min="10" max="10" width="19.44140625" bestFit="1" customWidth="1"/>
    <col min="11" max="11" width="21.33203125" bestFit="1" customWidth="1"/>
    <col min="12" max="12" width="22.77734375" bestFit="1" customWidth="1"/>
    <col min="13" max="13" width="18.33203125" bestFit="1" customWidth="1"/>
    <col min="14" max="14" width="20.21875" bestFit="1" customWidth="1"/>
  </cols>
  <sheetData>
    <row r="1" spans="1:14" x14ac:dyDescent="0.3">
      <c r="A1" t="s">
        <v>38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</row>
    <row r="2" spans="1:14" x14ac:dyDescent="0.3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H2">
        <v>366621.88949999999</v>
      </c>
      <c r="I2" s="1">
        <v>45619.450662037038</v>
      </c>
      <c r="J2">
        <v>61.477307236232249</v>
      </c>
      <c r="K2">
        <v>3.8636422713947809</v>
      </c>
      <c r="L2">
        <v>2.516706629273084</v>
      </c>
      <c r="M2">
        <v>0.12074213055274668</v>
      </c>
      <c r="N2">
        <v>4.1509304680857478E-2</v>
      </c>
    </row>
    <row r="3" spans="1:14" x14ac:dyDescent="0.3">
      <c r="A3" t="s">
        <v>52</v>
      </c>
      <c r="B3" t="s">
        <v>53</v>
      </c>
      <c r="C3" t="s">
        <v>54</v>
      </c>
      <c r="D3" t="s">
        <v>60</v>
      </c>
      <c r="E3" t="s">
        <v>58</v>
      </c>
      <c r="F3" t="s">
        <v>59</v>
      </c>
      <c r="H3">
        <v>369144.38899999997</v>
      </c>
      <c r="I3" s="1">
        <v>45619.804705034723</v>
      </c>
      <c r="J3">
        <v>59.580084798070871</v>
      </c>
      <c r="K3">
        <v>5.2538880405507014</v>
      </c>
      <c r="L3">
        <v>2.3687397057977155</v>
      </c>
      <c r="M3">
        <v>0.11247771246205278</v>
      </c>
      <c r="N3">
        <v>3.1749504113244877E-2</v>
      </c>
    </row>
    <row r="4" spans="1:14" x14ac:dyDescent="0.3">
      <c r="A4" t="s">
        <v>52</v>
      </c>
      <c r="B4" t="s">
        <v>53</v>
      </c>
      <c r="C4" t="s">
        <v>54</v>
      </c>
      <c r="D4" t="s">
        <v>55</v>
      </c>
      <c r="E4" t="s">
        <v>79</v>
      </c>
      <c r="F4" t="s">
        <v>57</v>
      </c>
      <c r="H4">
        <v>89345</v>
      </c>
      <c r="I4" s="1">
        <v>45619.702981770832</v>
      </c>
      <c r="J4">
        <v>59.883468563944113</v>
      </c>
      <c r="K4">
        <v>4.1996001955675712</v>
      </c>
      <c r="L4">
        <v>2.8116592318517029</v>
      </c>
      <c r="M4">
        <v>0.10735070156647317</v>
      </c>
      <c r="N4">
        <v>4.7718262790655344E-2</v>
      </c>
    </row>
    <row r="5" spans="1:14" x14ac:dyDescent="0.3">
      <c r="A5" t="s">
        <v>52</v>
      </c>
      <c r="B5" t="s">
        <v>53</v>
      </c>
      <c r="C5" t="s">
        <v>54</v>
      </c>
      <c r="D5" t="s">
        <v>55</v>
      </c>
      <c r="E5" t="s">
        <v>61</v>
      </c>
      <c r="F5" t="s">
        <v>59</v>
      </c>
      <c r="H5">
        <v>65409.630000000005</v>
      </c>
      <c r="I5" s="1">
        <v>45619.805540555557</v>
      </c>
      <c r="J5">
        <v>60.134938730614707</v>
      </c>
      <c r="K5">
        <v>4.4678293114314123</v>
      </c>
      <c r="L5">
        <v>3.2847937133180731</v>
      </c>
      <c r="M5">
        <v>0.13499971331614133</v>
      </c>
      <c r="N5">
        <v>7.5757018229725637E-2</v>
      </c>
    </row>
    <row r="6" spans="1:14" x14ac:dyDescent="0.3">
      <c r="A6" t="s">
        <v>52</v>
      </c>
      <c r="B6" t="s">
        <v>53</v>
      </c>
      <c r="C6" t="s">
        <v>54</v>
      </c>
      <c r="D6" t="s">
        <v>60</v>
      </c>
      <c r="E6" t="s">
        <v>62</v>
      </c>
      <c r="F6" t="s">
        <v>59</v>
      </c>
      <c r="H6">
        <v>22861.677250000008</v>
      </c>
      <c r="I6" s="1">
        <v>45618.273821759256</v>
      </c>
      <c r="J6">
        <v>59.956343550245847</v>
      </c>
      <c r="K6">
        <v>5.3429231253878884</v>
      </c>
      <c r="L6">
        <v>3.1186436211731672</v>
      </c>
      <c r="M6">
        <v>0.12664266526198908</v>
      </c>
      <c r="N6">
        <v>3.1999015765260423E-2</v>
      </c>
    </row>
    <row r="7" spans="1:14" x14ac:dyDescent="0.3">
      <c r="A7" t="s">
        <v>52</v>
      </c>
      <c r="B7" t="s">
        <v>53</v>
      </c>
      <c r="C7" t="s">
        <v>54</v>
      </c>
      <c r="D7" t="s">
        <v>60</v>
      </c>
      <c r="E7" t="s">
        <v>80</v>
      </c>
      <c r="F7" t="s">
        <v>57</v>
      </c>
      <c r="H7">
        <v>445765.93425000005</v>
      </c>
      <c r="I7" s="1">
        <v>45619.802261400466</v>
      </c>
      <c r="J7">
        <v>61.795492014279141</v>
      </c>
      <c r="K7">
        <v>3.9093537543977193</v>
      </c>
      <c r="L7">
        <v>2.3062204770750117</v>
      </c>
      <c r="M7">
        <v>0.12214138499647757</v>
      </c>
      <c r="N7">
        <v>3.6055612168878759E-2</v>
      </c>
    </row>
    <row r="8" spans="1:14" x14ac:dyDescent="0.3">
      <c r="A8" t="s">
        <v>52</v>
      </c>
      <c r="B8" t="s">
        <v>53</v>
      </c>
      <c r="C8" t="s">
        <v>54</v>
      </c>
      <c r="D8" t="s">
        <v>60</v>
      </c>
      <c r="E8" t="s">
        <v>63</v>
      </c>
      <c r="F8" t="s">
        <v>57</v>
      </c>
      <c r="H8">
        <v>118960.37325</v>
      </c>
      <c r="I8" s="1">
        <v>45610.788344444445</v>
      </c>
      <c r="J8">
        <v>61.178959226719492</v>
      </c>
      <c r="K8">
        <v>4.2341996846239311</v>
      </c>
      <c r="L8">
        <v>1.9534668365764916</v>
      </c>
      <c r="M8">
        <v>0.14379460320881984</v>
      </c>
      <c r="N8">
        <v>3.1630822078847209E-2</v>
      </c>
    </row>
    <row r="9" spans="1:14" x14ac:dyDescent="0.3">
      <c r="A9" t="s">
        <v>52</v>
      </c>
      <c r="B9" t="s">
        <v>53</v>
      </c>
      <c r="C9" t="s">
        <v>64</v>
      </c>
      <c r="D9" t="s">
        <v>60</v>
      </c>
      <c r="E9" t="s">
        <v>65</v>
      </c>
      <c r="H9">
        <v>-427</v>
      </c>
      <c r="I9" s="1">
        <v>45592.703703703701</v>
      </c>
      <c r="J9">
        <v>58.835193303438544</v>
      </c>
      <c r="K9">
        <v>5.2238697028570096</v>
      </c>
      <c r="L9">
        <v>2.5811668878460101</v>
      </c>
      <c r="M9">
        <v>0.10888867027785624</v>
      </c>
      <c r="N9">
        <v>0.29236007099364764</v>
      </c>
    </row>
    <row r="10" spans="1:14" x14ac:dyDescent="0.3">
      <c r="A10" t="s">
        <v>52</v>
      </c>
      <c r="B10" t="s">
        <v>53</v>
      </c>
      <c r="C10" t="s">
        <v>64</v>
      </c>
      <c r="D10" t="s">
        <v>55</v>
      </c>
      <c r="E10" t="s">
        <v>81</v>
      </c>
      <c r="F10" t="s">
        <v>59</v>
      </c>
      <c r="H10">
        <v>69487.741750000001</v>
      </c>
      <c r="I10" s="1">
        <v>45613.021184641206</v>
      </c>
      <c r="J10">
        <v>59.900837483796622</v>
      </c>
      <c r="K10">
        <v>4.7736284470027837</v>
      </c>
      <c r="L10">
        <v>2.8109667576453554</v>
      </c>
      <c r="M10">
        <v>0.1301601250553964</v>
      </c>
      <c r="N10">
        <v>0.10530243864218863</v>
      </c>
    </row>
    <row r="11" spans="1:14" x14ac:dyDescent="0.3">
      <c r="A11" t="s">
        <v>52</v>
      </c>
      <c r="B11" t="s">
        <v>53</v>
      </c>
      <c r="C11" t="s">
        <v>64</v>
      </c>
      <c r="D11" t="s">
        <v>60</v>
      </c>
      <c r="E11" t="s">
        <v>66</v>
      </c>
      <c r="F11" t="s">
        <v>59</v>
      </c>
      <c r="H11">
        <v>261715.71175000002</v>
      </c>
      <c r="I11" s="1">
        <v>45616.34717601852</v>
      </c>
      <c r="J11">
        <v>60.521783737297675</v>
      </c>
      <c r="K11">
        <v>4.0594578988753174</v>
      </c>
      <c r="L11">
        <v>3.0333114238017291</v>
      </c>
      <c r="M11">
        <v>0.19122541503273865</v>
      </c>
      <c r="N11">
        <v>4.9668260774039213E-2</v>
      </c>
    </row>
    <row r="12" spans="1:14" x14ac:dyDescent="0.3">
      <c r="A12" t="s">
        <v>52</v>
      </c>
      <c r="B12" t="s">
        <v>53</v>
      </c>
      <c r="C12" t="s">
        <v>64</v>
      </c>
      <c r="D12" t="s">
        <v>55</v>
      </c>
      <c r="E12" t="s">
        <v>67</v>
      </c>
      <c r="F12" t="s">
        <v>68</v>
      </c>
      <c r="H12">
        <v>74087.3</v>
      </c>
      <c r="I12" s="1">
        <v>45619.75756878472</v>
      </c>
      <c r="J12">
        <v>56.169985827502849</v>
      </c>
      <c r="K12">
        <v>7.5200162126421111</v>
      </c>
      <c r="L12">
        <v>3.7705080945634344</v>
      </c>
      <c r="M12">
        <v>5.4691395319978957E-2</v>
      </c>
      <c r="N12">
        <v>3.6513942587076312E-2</v>
      </c>
    </row>
    <row r="13" spans="1:14" x14ac:dyDescent="0.3">
      <c r="A13" t="s">
        <v>52</v>
      </c>
      <c r="B13" t="s">
        <v>53</v>
      </c>
      <c r="C13" t="s">
        <v>64</v>
      </c>
      <c r="D13" t="s">
        <v>55</v>
      </c>
      <c r="E13" t="s">
        <v>69</v>
      </c>
      <c r="F13" t="s">
        <v>68</v>
      </c>
      <c r="G13" t="s">
        <v>70</v>
      </c>
      <c r="H13">
        <v>21913.954719999994</v>
      </c>
      <c r="I13" s="1">
        <v>45613.4479406713</v>
      </c>
      <c r="J13">
        <v>55.976341904030001</v>
      </c>
      <c r="K13">
        <v>7.9751260086812197</v>
      </c>
      <c r="L13">
        <v>3.6809906976424656</v>
      </c>
      <c r="M13">
        <v>5.4355111549029819E-2</v>
      </c>
      <c r="N13">
        <v>3.6805807483284471E-2</v>
      </c>
    </row>
    <row r="14" spans="1:14" x14ac:dyDescent="0.3">
      <c r="A14" t="s">
        <v>52</v>
      </c>
      <c r="B14" t="s">
        <v>53</v>
      </c>
      <c r="C14" t="s">
        <v>64</v>
      </c>
      <c r="D14" t="s">
        <v>60</v>
      </c>
      <c r="E14" t="s">
        <v>71</v>
      </c>
      <c r="F14" t="s">
        <v>59</v>
      </c>
      <c r="H14">
        <v>18297.951000000001</v>
      </c>
      <c r="I14" s="1">
        <v>45619.794694837961</v>
      </c>
      <c r="J14">
        <v>58.946115263235313</v>
      </c>
      <c r="K14">
        <v>3.7596072388811352</v>
      </c>
      <c r="L14">
        <v>2.8824081273757076</v>
      </c>
      <c r="M14">
        <v>0.11286814368031474</v>
      </c>
      <c r="N14">
        <v>3.9733036781893355E-2</v>
      </c>
    </row>
    <row r="15" spans="1:14" x14ac:dyDescent="0.3">
      <c r="A15" t="s">
        <v>52</v>
      </c>
      <c r="B15" t="s">
        <v>53</v>
      </c>
      <c r="C15" t="s">
        <v>64</v>
      </c>
      <c r="D15" t="s">
        <v>55</v>
      </c>
      <c r="E15" t="s">
        <v>72</v>
      </c>
      <c r="F15" t="s">
        <v>59</v>
      </c>
      <c r="H15">
        <v>31128</v>
      </c>
      <c r="I15" s="1">
        <v>45612.986773321762</v>
      </c>
      <c r="J15">
        <v>57.497500518308165</v>
      </c>
      <c r="K15">
        <v>4.8634140993888293</v>
      </c>
      <c r="L15">
        <v>2.5708872714115731</v>
      </c>
      <c r="M15">
        <v>0.10896456387075575</v>
      </c>
      <c r="N15">
        <v>4.8515879878249145E-2</v>
      </c>
    </row>
    <row r="16" spans="1:14" x14ac:dyDescent="0.3">
      <c r="A16" t="s">
        <v>52</v>
      </c>
      <c r="B16" t="s">
        <v>53</v>
      </c>
      <c r="D16" t="s">
        <v>60</v>
      </c>
      <c r="E16" t="s">
        <v>82</v>
      </c>
      <c r="F16" t="s">
        <v>68</v>
      </c>
      <c r="H16">
        <v>180604.70550000004</v>
      </c>
      <c r="I16" s="1">
        <v>45619.75756878472</v>
      </c>
      <c r="J16">
        <v>56.790643784221473</v>
      </c>
      <c r="K16">
        <v>7.6499307363948565</v>
      </c>
      <c r="L16">
        <v>2.8929851113897764</v>
      </c>
      <c r="M16">
        <v>5.9431920143649383E-2</v>
      </c>
      <c r="N16">
        <v>3.1507258565979371E-2</v>
      </c>
    </row>
    <row r="17" spans="1:14" x14ac:dyDescent="0.3">
      <c r="A17" t="s">
        <v>52</v>
      </c>
      <c r="B17" t="s">
        <v>53</v>
      </c>
      <c r="D17" t="s">
        <v>60</v>
      </c>
      <c r="E17" t="s">
        <v>73</v>
      </c>
      <c r="F17" t="s">
        <v>68</v>
      </c>
      <c r="H17">
        <v>1132.1604400000015</v>
      </c>
      <c r="I17" s="1">
        <v>45619.34635201389</v>
      </c>
      <c r="J17">
        <v>56.0010132635731</v>
      </c>
      <c r="K17">
        <v>8.3150531451328842</v>
      </c>
      <c r="L17">
        <v>3.5162480639359019</v>
      </c>
      <c r="M17">
        <v>5.4116291231635152E-2</v>
      </c>
      <c r="N17">
        <v>3.8655236755190586E-2</v>
      </c>
    </row>
    <row r="18" spans="1:14" x14ac:dyDescent="0.3">
      <c r="A18" t="s">
        <v>52</v>
      </c>
      <c r="B18" t="s">
        <v>53</v>
      </c>
      <c r="D18" t="s">
        <v>60</v>
      </c>
      <c r="E18" t="s">
        <v>83</v>
      </c>
      <c r="F18" t="s">
        <v>68</v>
      </c>
      <c r="H18">
        <v>2603.4324399999987</v>
      </c>
      <c r="I18" s="1">
        <v>45615.870680092594</v>
      </c>
      <c r="J18">
        <v>57.340161716672029</v>
      </c>
      <c r="K18">
        <v>5.338948313848082</v>
      </c>
      <c r="L18">
        <v>4.0099959141496191</v>
      </c>
      <c r="M18">
        <v>5.8121660657909906E-2</v>
      </c>
      <c r="N18">
        <v>3.6958493669440762E-2</v>
      </c>
    </row>
    <row r="19" spans="1:14" x14ac:dyDescent="0.3">
      <c r="A19" t="s">
        <v>52</v>
      </c>
      <c r="B19" t="s">
        <v>53</v>
      </c>
      <c r="D19" t="s">
        <v>55</v>
      </c>
      <c r="E19" t="s">
        <v>74</v>
      </c>
      <c r="F19" t="s">
        <v>68</v>
      </c>
      <c r="H19">
        <v>309934.82482000004</v>
      </c>
      <c r="I19" s="1">
        <v>45619.635578703703</v>
      </c>
      <c r="J19">
        <v>56.539803077226438</v>
      </c>
      <c r="K19">
        <v>6.0468099102851145</v>
      </c>
      <c r="L19">
        <v>4.1123416815040059</v>
      </c>
      <c r="M19">
        <v>5.7442545652303049E-2</v>
      </c>
      <c r="N19">
        <v>3.4755733643885491E-2</v>
      </c>
    </row>
    <row r="20" spans="1:14" x14ac:dyDescent="0.3">
      <c r="A20" t="s">
        <v>52</v>
      </c>
      <c r="B20" t="s">
        <v>53</v>
      </c>
      <c r="D20" t="s">
        <v>55</v>
      </c>
      <c r="E20" t="s">
        <v>75</v>
      </c>
      <c r="F20" t="s">
        <v>68</v>
      </c>
      <c r="H20">
        <v>2826.5838400000002</v>
      </c>
      <c r="I20" s="1">
        <v>45613.07194238426</v>
      </c>
      <c r="J20">
        <v>55.568620763493833</v>
      </c>
      <c r="K20">
        <v>4.7159784404408507</v>
      </c>
      <c r="L20">
        <v>5.5800659875244563</v>
      </c>
      <c r="M20">
        <v>5.0663846242362268E-2</v>
      </c>
      <c r="N20">
        <v>2.1746060322017615E-2</v>
      </c>
    </row>
    <row r="21" spans="1:14" x14ac:dyDescent="0.3">
      <c r="A21" t="s">
        <v>52</v>
      </c>
      <c r="B21" t="s">
        <v>53</v>
      </c>
      <c r="D21" t="s">
        <v>55</v>
      </c>
      <c r="E21" t="s">
        <v>76</v>
      </c>
      <c r="F21" t="s">
        <v>68</v>
      </c>
      <c r="H21">
        <v>448.04426000000035</v>
      </c>
      <c r="I21" s="1">
        <v>45619.46122704861</v>
      </c>
      <c r="J21">
        <v>55.147936999999999</v>
      </c>
      <c r="K21">
        <v>7.2413250000000007</v>
      </c>
      <c r="L21">
        <v>4.6840489999999999</v>
      </c>
      <c r="M21">
        <v>5.6008999999999996E-2</v>
      </c>
      <c r="N21">
        <v>1.9518000000000001E-2</v>
      </c>
    </row>
    <row r="22" spans="1:14" x14ac:dyDescent="0.3">
      <c r="A22" t="s">
        <v>52</v>
      </c>
      <c r="B22" t="s">
        <v>53</v>
      </c>
      <c r="D22" t="s">
        <v>55</v>
      </c>
      <c r="E22" t="s">
        <v>77</v>
      </c>
      <c r="F22" t="s">
        <v>59</v>
      </c>
      <c r="H22">
        <v>1071.5</v>
      </c>
      <c r="I22" s="1">
        <v>45568.923900462964</v>
      </c>
      <c r="J22">
        <v>62.477748563523477</v>
      </c>
      <c r="K22">
        <v>3.867786611936626</v>
      </c>
      <c r="L22">
        <v>2.4585698357454278</v>
      </c>
      <c r="M22">
        <v>0.11278326480440216</v>
      </c>
      <c r="N22">
        <v>5.6530858704615515E-2</v>
      </c>
    </row>
    <row r="23" spans="1:14" x14ac:dyDescent="0.3">
      <c r="A23" t="s">
        <v>52</v>
      </c>
      <c r="B23" t="s">
        <v>53</v>
      </c>
      <c r="D23" t="s">
        <v>60</v>
      </c>
      <c r="E23" t="s">
        <v>78</v>
      </c>
      <c r="F23" t="s">
        <v>59</v>
      </c>
      <c r="H23">
        <v>2120.530999999999</v>
      </c>
      <c r="I23" s="1">
        <v>45619.545908715278</v>
      </c>
      <c r="J23">
        <v>60.966497759012626</v>
      </c>
      <c r="K23">
        <v>2.5574093383426475</v>
      </c>
      <c r="L23">
        <v>2.1826239248775434</v>
      </c>
      <c r="M23">
        <v>0.11933252273221202</v>
      </c>
      <c r="N23">
        <v>4.1797061240234495E-2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299A66-7DC0-4D95-84FA-2D58A110754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final_input_equipment_data</vt:lpstr>
      <vt:lpstr>final_input_crusher_data</vt:lpstr>
      <vt:lpstr>final_input_stockpile_data</vt:lpstr>
      <vt:lpstr>final_input_grade_block_data</vt:lpstr>
      <vt:lpstr>snowflake_opening_inventories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Armin Sabet</dc:creator>
  <cp:lastModifiedBy>Armin Sabet</cp:lastModifiedBy>
  <dcterms:created xsi:type="dcterms:W3CDTF">2024-10-25T07:56:22Z</dcterms:created>
  <dcterms:modified xsi:type="dcterms:W3CDTF">2024-11-27T10:05:50Z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35c073-4817-4c70-9940-2eb35eedfc30_Enabled">
    <vt:lpwstr>true</vt:lpwstr>
  </property>
  <property fmtid="{D5CDD505-2E9C-101B-9397-08002B2CF9AE}" pid="3" name="MSIP_Label_e035c073-4817-4c70-9940-2eb35eedfc30_SetDate">
    <vt:lpwstr>2024-10-25T07:56:22Z</vt:lpwstr>
  </property>
  <property fmtid="{D5CDD505-2E9C-101B-9397-08002B2CF9AE}" pid="4" name="MSIP_Label_e035c073-4817-4c70-9940-2eb35eedfc30_Method">
    <vt:lpwstr>Privileged</vt:lpwstr>
  </property>
  <property fmtid="{D5CDD505-2E9C-101B-9397-08002B2CF9AE}" pid="5" name="MSIP_Label_e035c073-4817-4c70-9940-2eb35eedfc30_Name">
    <vt:lpwstr>e035c073-4817-4c70-9940-2eb35eedfc30</vt:lpwstr>
  </property>
  <property fmtid="{D5CDD505-2E9C-101B-9397-08002B2CF9AE}" pid="6" name="MSIP_Label_e035c073-4817-4c70-9940-2eb35eedfc30_SiteId">
    <vt:lpwstr>143a7396-a856-47d7-8e31-62990b5bacd0</vt:lpwstr>
  </property>
  <property fmtid="{D5CDD505-2E9C-101B-9397-08002B2CF9AE}" pid="7" name="MSIP_Label_e035c073-4817-4c70-9940-2eb35eedfc30_ActionId">
    <vt:lpwstr>b62790c0-c764-4a9f-aacd-a5e54d7f5051</vt:lpwstr>
  </property>
  <property fmtid="{D5CDD505-2E9C-101B-9397-08002B2CF9AE}" pid="8" name="MSIP_Label_e035c073-4817-4c70-9940-2eb35eedfc30_ContentBits">
    <vt:lpwstr>0</vt:lpwstr>
  </property>
</Properties>
</file>